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cc5c6b4425a70775/Mondial Qatar 2022/"/>
    </mc:Choice>
  </mc:AlternateContent>
  <xr:revisionPtr revIDLastSave="441" documentId="11_4D02D799E07AB4CB3ED475A9B01743716889120A" xr6:coauthVersionLast="47" xr6:coauthVersionMax="47" xr10:uidLastSave="{D8F7882D-D1C2-48B9-89BE-61C3B75C0B13}"/>
  <bookViews>
    <workbookView xWindow="-110" yWindow="-110" windowWidth="19420" windowHeight="10300" tabRatio="755" xr2:uid="{00000000-000D-0000-FFFF-FFFF00000000}"/>
  </bookViews>
  <sheets>
    <sheet name="Menu" sheetId="14" r:id="rId1"/>
    <sheet name="groupMarcoEsteves" sheetId="55" state="hidden" r:id="rId2"/>
    <sheet name="MarcoEsteves" sheetId="54" state="hidden" r:id="rId3"/>
    <sheet name="groupDianaCeleiro" sheetId="57" state="hidden" r:id="rId4"/>
    <sheet name="DianaCeleiro" sheetId="56" state="hidden" r:id="rId5"/>
    <sheet name="Real" sheetId="52" state="hidden" r:id="rId6"/>
    <sheet name="groupReal" sheetId="53" state="hidden" r:id="rId7"/>
    <sheet name="Scores" sheetId="32" state="hidden" r:id="rId8"/>
    <sheet name="Rules" sheetId="15" state="hidden" r:id="rId9"/>
    <sheet name="ModèleScores" sheetId="17" state="hidden" r:id="rId10"/>
    <sheet name="Modèlegroup" sheetId="20" state="hidden" r:id="rId11"/>
    <sheet name="dataMatch" sheetId="8" state="hidden" r:id="rId12"/>
  </sheets>
  <externalReferences>
    <externalReference r:id="rId13"/>
  </externalReferences>
  <definedNames>
    <definedName name="Argentina" localSheetId="11">[1]groupReal!$D$17</definedName>
    <definedName name="Belgium" localSheetId="11">[1]groupReal!$O$10</definedName>
    <definedName name="Brazil" localSheetId="11">[1]groupReal!$O$17</definedName>
    <definedName name="Cameroon" localSheetId="11">[1]groupReal!$O$20</definedName>
    <definedName name="Canada" localSheetId="11">[1]groupReal!$O$11</definedName>
    <definedName name="Croatia" localSheetId="11">[1]groupReal!$O$13</definedName>
    <definedName name="Denmark" localSheetId="11">[1]groupReal!$D$25</definedName>
    <definedName name="Ecuador" localSheetId="11">[1]groupReal!$D$4</definedName>
    <definedName name="England" localSheetId="11">[1]groupReal!$D$10</definedName>
    <definedName name="France" localSheetId="11">[1]groupReal!$D$24</definedName>
    <definedName name="Germany" localSheetId="11">[1]groupReal!$O$4</definedName>
    <definedName name="Ghana" localSheetId="11">[1]groupReal!$O$25</definedName>
    <definedName name="IRIran" localSheetId="11">[1]groupReal!$D$11</definedName>
    <definedName name="Japan" localSheetId="11">[1]groupReal!$O$5</definedName>
    <definedName name="Korea" localSheetId="11">[1]groupReal!$O$27</definedName>
    <definedName name="Mexico" localSheetId="11">[1]groupReal!$D$19</definedName>
    <definedName name="Morocco" localSheetId="11">[1]groupReal!$O$12</definedName>
    <definedName name="Netherlands" localSheetId="11">[1]groupReal!$D$6</definedName>
    <definedName name="Poland" localSheetId="11">[1]groupReal!$D$20</definedName>
    <definedName name="Portugal" localSheetId="11">[1]groupReal!$O$24</definedName>
    <definedName name="Qatar" localSheetId="11">[1]groupReal!$D$3</definedName>
    <definedName name="SaudiArabia" localSheetId="11">[1]groupReal!$D$18</definedName>
    <definedName name="Senegal" localSheetId="11">[1]groupReal!$D$5</definedName>
    <definedName name="Serbia" localSheetId="11">[1]groupReal!$O$18</definedName>
    <definedName name="Spain" localSheetId="11">[1]groupReal!$O$3</definedName>
    <definedName name="Switzerland" localSheetId="11">[1]groupReal!$O$19</definedName>
    <definedName name="Tunisia" localSheetId="11">[1]groupReal!$D$26</definedName>
    <definedName name="Uruguay" localSheetId="11">[1]groupReal!$O$26</definedName>
    <definedName name="USA" localSheetId="11">[1]groupReal!$D$12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32" i="56" l="1"/>
  <c r="X32" i="56"/>
  <c r="W32" i="56"/>
  <c r="V32" i="56"/>
  <c r="U32" i="56"/>
  <c r="T32" i="56"/>
  <c r="R32" i="56"/>
  <c r="Q32" i="56"/>
  <c r="P32" i="56"/>
  <c r="O32" i="56"/>
  <c r="N32" i="56"/>
  <c r="M32" i="56"/>
  <c r="Y31" i="56"/>
  <c r="X31" i="56"/>
  <c r="W31" i="56"/>
  <c r="V31" i="56"/>
  <c r="U31" i="56"/>
  <c r="T31" i="56"/>
  <c r="R31" i="56"/>
  <c r="Q31" i="56"/>
  <c r="P31" i="56"/>
  <c r="O31" i="56"/>
  <c r="N31" i="56"/>
  <c r="M31" i="56"/>
  <c r="Y30" i="56"/>
  <c r="X30" i="56"/>
  <c r="W30" i="56"/>
  <c r="V30" i="56"/>
  <c r="U30" i="56"/>
  <c r="T30" i="56"/>
  <c r="I59" i="56" s="1"/>
  <c r="I63" i="56" s="1"/>
  <c r="I68" i="56" s="1"/>
  <c r="R30" i="56"/>
  <c r="Q30" i="56"/>
  <c r="P30" i="56"/>
  <c r="O30" i="56"/>
  <c r="N30" i="56"/>
  <c r="M30" i="56"/>
  <c r="Y29" i="56"/>
  <c r="X29" i="56"/>
  <c r="W29" i="56"/>
  <c r="V29" i="56"/>
  <c r="U29" i="56"/>
  <c r="T29" i="56"/>
  <c r="R29" i="56"/>
  <c r="Q29" i="56"/>
  <c r="P29" i="56"/>
  <c r="O29" i="56"/>
  <c r="N29" i="56"/>
  <c r="M29" i="56"/>
  <c r="E56" i="56" s="1"/>
  <c r="Y25" i="56"/>
  <c r="X25" i="56"/>
  <c r="W25" i="56"/>
  <c r="V25" i="56"/>
  <c r="U25" i="56"/>
  <c r="T25" i="56"/>
  <c r="R25" i="56"/>
  <c r="Q25" i="56"/>
  <c r="P25" i="56"/>
  <c r="O25" i="56"/>
  <c r="N25" i="56"/>
  <c r="M25" i="56"/>
  <c r="Y24" i="56"/>
  <c r="X24" i="56"/>
  <c r="W24" i="56"/>
  <c r="V24" i="56"/>
  <c r="U24" i="56"/>
  <c r="T24" i="56"/>
  <c r="R24" i="56"/>
  <c r="Q24" i="56"/>
  <c r="P24" i="56"/>
  <c r="O24" i="56"/>
  <c r="N24" i="56"/>
  <c r="M24" i="56"/>
  <c r="Y23" i="56"/>
  <c r="X23" i="56"/>
  <c r="W23" i="56"/>
  <c r="V23" i="56"/>
  <c r="U23" i="56"/>
  <c r="T23" i="56"/>
  <c r="I61" i="56" s="1"/>
  <c r="I65" i="56" s="1"/>
  <c r="I69" i="56" s="1"/>
  <c r="R23" i="56"/>
  <c r="Q23" i="56"/>
  <c r="P23" i="56"/>
  <c r="O23" i="56"/>
  <c r="N23" i="56"/>
  <c r="M23" i="56"/>
  <c r="Y22" i="56"/>
  <c r="X22" i="56"/>
  <c r="W22" i="56"/>
  <c r="V22" i="56"/>
  <c r="U22" i="56"/>
  <c r="T22" i="56"/>
  <c r="R22" i="56"/>
  <c r="Q22" i="56"/>
  <c r="P22" i="56"/>
  <c r="O22" i="56"/>
  <c r="N22" i="56"/>
  <c r="M22" i="56"/>
  <c r="E55" i="56" s="1"/>
  <c r="Y18" i="56"/>
  <c r="X18" i="56"/>
  <c r="W18" i="56"/>
  <c r="V18" i="56"/>
  <c r="U18" i="56"/>
  <c r="T18" i="56"/>
  <c r="Q18" i="56"/>
  <c r="M18" i="56"/>
  <c r="Y17" i="56"/>
  <c r="X17" i="56"/>
  <c r="W17" i="56"/>
  <c r="V17" i="56"/>
  <c r="U17" i="56"/>
  <c r="T17" i="56"/>
  <c r="O17" i="56"/>
  <c r="M17" i="56"/>
  <c r="Y16" i="56"/>
  <c r="X16" i="56"/>
  <c r="W16" i="56"/>
  <c r="V16" i="56"/>
  <c r="U16" i="56"/>
  <c r="T16" i="56"/>
  <c r="I58" i="56" s="1"/>
  <c r="E63" i="56" s="1"/>
  <c r="N16" i="56"/>
  <c r="M16" i="56"/>
  <c r="I54" i="56" s="1"/>
  <c r="E64" i="56" s="1"/>
  <c r="Y15" i="56"/>
  <c r="X15" i="56"/>
  <c r="W15" i="56"/>
  <c r="V15" i="56"/>
  <c r="U15" i="56"/>
  <c r="T15" i="56"/>
  <c r="M15" i="56"/>
  <c r="Y11" i="56"/>
  <c r="X11" i="56"/>
  <c r="W11" i="56"/>
  <c r="V11" i="56"/>
  <c r="U11" i="56"/>
  <c r="T11" i="56"/>
  <c r="Q11" i="56"/>
  <c r="M11" i="56"/>
  <c r="Y10" i="56"/>
  <c r="X10" i="56"/>
  <c r="W10" i="56"/>
  <c r="V10" i="56"/>
  <c r="U10" i="56"/>
  <c r="T10" i="56"/>
  <c r="Q10" i="56"/>
  <c r="O10" i="56"/>
  <c r="M10" i="56"/>
  <c r="Y9" i="56"/>
  <c r="X9" i="56"/>
  <c r="W9" i="56"/>
  <c r="V9" i="56"/>
  <c r="U9" i="56"/>
  <c r="T9" i="56"/>
  <c r="I60" i="56" s="1"/>
  <c r="E65" i="56" s="1"/>
  <c r="Q9" i="56"/>
  <c r="N9" i="56"/>
  <c r="M9" i="56"/>
  <c r="Y8" i="56"/>
  <c r="X8" i="56"/>
  <c r="W8" i="56"/>
  <c r="V8" i="56"/>
  <c r="U8" i="56"/>
  <c r="T8" i="56"/>
  <c r="M8" i="56"/>
  <c r="AK27" i="57"/>
  <c r="AJ27" i="57"/>
  <c r="AM27" i="57" s="1"/>
  <c r="AH27" i="57"/>
  <c r="AD27" i="57"/>
  <c r="AC27" i="57"/>
  <c r="AA27" i="57"/>
  <c r="Z27" i="57"/>
  <c r="AB27" i="57" s="1"/>
  <c r="P27" i="57"/>
  <c r="S27" i="57" s="1"/>
  <c r="O27" i="57"/>
  <c r="R27" i="57" s="1"/>
  <c r="M27" i="57"/>
  <c r="T27" i="57" s="1"/>
  <c r="I27" i="57"/>
  <c r="H27" i="57"/>
  <c r="F27" i="57"/>
  <c r="E27" i="57"/>
  <c r="AK26" i="57"/>
  <c r="AI26" i="57"/>
  <c r="AM26" i="57" s="1"/>
  <c r="AG26" i="57"/>
  <c r="AD26" i="57"/>
  <c r="AC26" i="57"/>
  <c r="AA26" i="57"/>
  <c r="Z26" i="57"/>
  <c r="AB26" i="57" s="1"/>
  <c r="P26" i="57"/>
  <c r="N26" i="57"/>
  <c r="R26" i="57" s="1"/>
  <c r="L26" i="57"/>
  <c r="U26" i="57" s="1"/>
  <c r="I26" i="57"/>
  <c r="H26" i="57"/>
  <c r="F26" i="57"/>
  <c r="E26" i="57"/>
  <c r="AJ25" i="57"/>
  <c r="AM25" i="57" s="1"/>
  <c r="AI25" i="57"/>
  <c r="AF25" i="57"/>
  <c r="AP25" i="57" s="1"/>
  <c r="AD25" i="57"/>
  <c r="AC25" i="57"/>
  <c r="AA25" i="57"/>
  <c r="AB25" i="57" s="1"/>
  <c r="Z25" i="57"/>
  <c r="O25" i="57"/>
  <c r="N25" i="57"/>
  <c r="Q25" i="57" s="1"/>
  <c r="K25" i="57"/>
  <c r="I25" i="57"/>
  <c r="H25" i="57"/>
  <c r="F25" i="57"/>
  <c r="E25" i="57"/>
  <c r="AH24" i="57"/>
  <c r="AG24" i="57"/>
  <c r="AF24" i="57"/>
  <c r="AD24" i="57"/>
  <c r="AC24" i="57"/>
  <c r="AA24" i="57"/>
  <c r="AB24" i="57" s="1"/>
  <c r="Z24" i="57"/>
  <c r="M24" i="57"/>
  <c r="T24" i="57" s="1"/>
  <c r="L24" i="57"/>
  <c r="Q24" i="57" s="1"/>
  <c r="K24" i="57"/>
  <c r="I24" i="57"/>
  <c r="H24" i="57"/>
  <c r="F24" i="57"/>
  <c r="E24" i="57"/>
  <c r="AK20" i="57"/>
  <c r="AJ20" i="57"/>
  <c r="AM20" i="57" s="1"/>
  <c r="AH20" i="57"/>
  <c r="AD20" i="57"/>
  <c r="AC20" i="57"/>
  <c r="AA20" i="57"/>
  <c r="Z20" i="57"/>
  <c r="AB20" i="57" s="1"/>
  <c r="P20" i="57"/>
  <c r="S20" i="57" s="1"/>
  <c r="O20" i="57"/>
  <c r="R20" i="57" s="1"/>
  <c r="M20" i="57"/>
  <c r="T20" i="57" s="1"/>
  <c r="I20" i="57"/>
  <c r="H20" i="57"/>
  <c r="F20" i="57"/>
  <c r="E20" i="57"/>
  <c r="AK19" i="57"/>
  <c r="AI19" i="57"/>
  <c r="AL19" i="57" s="1"/>
  <c r="AG19" i="57"/>
  <c r="AD19" i="57"/>
  <c r="AC19" i="57"/>
  <c r="AA19" i="57"/>
  <c r="Z19" i="57"/>
  <c r="AB19" i="57" s="1"/>
  <c r="P19" i="57"/>
  <c r="N19" i="57"/>
  <c r="R19" i="57" s="1"/>
  <c r="L19" i="57"/>
  <c r="S19" i="57" s="1"/>
  <c r="I19" i="57"/>
  <c r="H19" i="57"/>
  <c r="F19" i="57"/>
  <c r="E19" i="57"/>
  <c r="AJ18" i="57"/>
  <c r="AI18" i="57"/>
  <c r="AF18" i="57"/>
  <c r="AP18" i="57" s="1"/>
  <c r="AD18" i="57"/>
  <c r="AC18" i="57"/>
  <c r="AA18" i="57"/>
  <c r="Z18" i="57"/>
  <c r="AB18" i="57" s="1"/>
  <c r="O18" i="57"/>
  <c r="N18" i="57"/>
  <c r="R18" i="57" s="1"/>
  <c r="K18" i="57"/>
  <c r="I18" i="57"/>
  <c r="H18" i="57"/>
  <c r="F18" i="57"/>
  <c r="E18" i="57"/>
  <c r="G18" i="57" s="1"/>
  <c r="AH17" i="57"/>
  <c r="AG17" i="57"/>
  <c r="AF17" i="57"/>
  <c r="AP17" i="57" s="1"/>
  <c r="AD17" i="57"/>
  <c r="AC17" i="57"/>
  <c r="AA17" i="57"/>
  <c r="Z17" i="57"/>
  <c r="AB17" i="57" s="1"/>
  <c r="M17" i="57"/>
  <c r="L17" i="57"/>
  <c r="S17" i="57" s="1"/>
  <c r="K17" i="57"/>
  <c r="I17" i="57"/>
  <c r="H17" i="57"/>
  <c r="F17" i="57"/>
  <c r="E17" i="57"/>
  <c r="G17" i="57" s="1"/>
  <c r="AK13" i="57"/>
  <c r="AJ13" i="57"/>
  <c r="AP13" i="57" s="1"/>
  <c r="AH13" i="57"/>
  <c r="AD13" i="57"/>
  <c r="AC13" i="57"/>
  <c r="AA13" i="57"/>
  <c r="Z13" i="57"/>
  <c r="AB13" i="57" s="1"/>
  <c r="P13" i="57"/>
  <c r="R13" i="57" s="1"/>
  <c r="O13" i="57"/>
  <c r="M13" i="57"/>
  <c r="I13" i="57"/>
  <c r="R18" i="56" s="1"/>
  <c r="H13" i="57"/>
  <c r="F13" i="57"/>
  <c r="O18" i="56" s="1"/>
  <c r="E13" i="57"/>
  <c r="N18" i="56" s="1"/>
  <c r="AK12" i="57"/>
  <c r="AI12" i="57"/>
  <c r="AM12" i="57" s="1"/>
  <c r="AG12" i="57"/>
  <c r="AD12" i="57"/>
  <c r="AC12" i="57"/>
  <c r="AA12" i="57"/>
  <c r="Z12" i="57"/>
  <c r="AB12" i="57" s="1"/>
  <c r="P12" i="57"/>
  <c r="U12" i="57" s="1"/>
  <c r="N12" i="57"/>
  <c r="R12" i="57" s="1"/>
  <c r="L12" i="57"/>
  <c r="S12" i="57" s="1"/>
  <c r="I12" i="57"/>
  <c r="R17" i="56" s="1"/>
  <c r="H12" i="57"/>
  <c r="Q17" i="56" s="1"/>
  <c r="F12" i="57"/>
  <c r="E12" i="57"/>
  <c r="N17" i="56" s="1"/>
  <c r="AJ11" i="57"/>
  <c r="AI11" i="57"/>
  <c r="AF11" i="57"/>
  <c r="AP11" i="57" s="1"/>
  <c r="AD11" i="57"/>
  <c r="AC11" i="57"/>
  <c r="AA11" i="57"/>
  <c r="Z11" i="57"/>
  <c r="AB11" i="57" s="1"/>
  <c r="O11" i="57"/>
  <c r="N11" i="57"/>
  <c r="R11" i="57" s="1"/>
  <c r="K11" i="57"/>
  <c r="U11" i="57" s="1"/>
  <c r="I11" i="57"/>
  <c r="R16" i="56" s="1"/>
  <c r="H11" i="57"/>
  <c r="Q16" i="56" s="1"/>
  <c r="F11" i="57"/>
  <c r="O16" i="56" s="1"/>
  <c r="E11" i="57"/>
  <c r="AH10" i="57"/>
  <c r="AG10" i="57"/>
  <c r="AF10" i="57"/>
  <c r="AP10" i="57" s="1"/>
  <c r="AD10" i="57"/>
  <c r="AC10" i="57"/>
  <c r="AA10" i="57"/>
  <c r="Z10" i="57"/>
  <c r="AB10" i="57" s="1"/>
  <c r="M10" i="57"/>
  <c r="L10" i="57"/>
  <c r="S10" i="57" s="1"/>
  <c r="K10" i="57"/>
  <c r="T10" i="57" s="1"/>
  <c r="I10" i="57"/>
  <c r="R15" i="56" s="1"/>
  <c r="H10" i="57"/>
  <c r="Q15" i="56" s="1"/>
  <c r="F10" i="57"/>
  <c r="O15" i="56" s="1"/>
  <c r="E10" i="57"/>
  <c r="G10" i="57" s="1"/>
  <c r="P15" i="56" s="1"/>
  <c r="AK6" i="57"/>
  <c r="AJ6" i="57"/>
  <c r="AP6" i="57" s="1"/>
  <c r="AH6" i="57"/>
  <c r="AD6" i="57"/>
  <c r="AC6" i="57"/>
  <c r="AA6" i="57"/>
  <c r="Z6" i="57"/>
  <c r="AB6" i="57" s="1"/>
  <c r="P6" i="57"/>
  <c r="R6" i="57" s="1"/>
  <c r="O6" i="57"/>
  <c r="M6" i="57"/>
  <c r="I6" i="57"/>
  <c r="R11" i="56" s="1"/>
  <c r="H6" i="57"/>
  <c r="F6" i="57"/>
  <c r="O11" i="56" s="1"/>
  <c r="E6" i="57"/>
  <c r="N11" i="56" s="1"/>
  <c r="AK5" i="57"/>
  <c r="AI5" i="57"/>
  <c r="AM5" i="57" s="1"/>
  <c r="AG5" i="57"/>
  <c r="AD5" i="57"/>
  <c r="AC5" i="57"/>
  <c r="AA5" i="57"/>
  <c r="Z5" i="57"/>
  <c r="AB5" i="57" s="1"/>
  <c r="P5" i="57"/>
  <c r="U5" i="57" s="1"/>
  <c r="N5" i="57"/>
  <c r="R5" i="57" s="1"/>
  <c r="L5" i="57"/>
  <c r="S5" i="57" s="1"/>
  <c r="I5" i="57"/>
  <c r="R10" i="56" s="1"/>
  <c r="H5" i="57"/>
  <c r="F5" i="57"/>
  <c r="E5" i="57"/>
  <c r="G5" i="57" s="1"/>
  <c r="P10" i="56" s="1"/>
  <c r="AJ4" i="57"/>
  <c r="AI4" i="57"/>
  <c r="AF4" i="57"/>
  <c r="AP4" i="57" s="1"/>
  <c r="AD4" i="57"/>
  <c r="AC4" i="57"/>
  <c r="AA4" i="57"/>
  <c r="Z4" i="57"/>
  <c r="AB4" i="57" s="1"/>
  <c r="O4" i="57"/>
  <c r="N4" i="57"/>
  <c r="R4" i="57" s="1"/>
  <c r="K4" i="57"/>
  <c r="T4" i="57" s="1"/>
  <c r="I4" i="57"/>
  <c r="R9" i="56" s="1"/>
  <c r="H4" i="57"/>
  <c r="F4" i="57"/>
  <c r="O9" i="56" s="1"/>
  <c r="E4" i="57"/>
  <c r="AH3" i="57"/>
  <c r="AG3" i="57"/>
  <c r="AF3" i="57"/>
  <c r="AP3" i="57" s="1"/>
  <c r="AD3" i="57"/>
  <c r="AC3" i="57"/>
  <c r="AA3" i="57"/>
  <c r="Z3" i="57"/>
  <c r="AB3" i="57" s="1"/>
  <c r="M3" i="57"/>
  <c r="L3" i="57"/>
  <c r="S3" i="57" s="1"/>
  <c r="K3" i="57"/>
  <c r="Q3" i="57" s="1"/>
  <c r="I3" i="57"/>
  <c r="R8" i="56" s="1"/>
  <c r="H3" i="57"/>
  <c r="Q8" i="56" s="1"/>
  <c r="F3" i="57"/>
  <c r="O8" i="56" s="1"/>
  <c r="E3" i="57"/>
  <c r="AP27" i="57"/>
  <c r="G27" i="57"/>
  <c r="G26" i="57"/>
  <c r="T25" i="57"/>
  <c r="R25" i="57"/>
  <c r="U25" i="57"/>
  <c r="G25" i="57"/>
  <c r="AN24" i="57"/>
  <c r="AP24" i="57"/>
  <c r="S24" i="57"/>
  <c r="U24" i="57"/>
  <c r="G24" i="57"/>
  <c r="AP20" i="57"/>
  <c r="G20" i="57"/>
  <c r="U19" i="57"/>
  <c r="G19" i="57"/>
  <c r="AM18" i="57"/>
  <c r="T18" i="57"/>
  <c r="Q18" i="57"/>
  <c r="U18" i="57"/>
  <c r="AN17" i="57"/>
  <c r="T17" i="57"/>
  <c r="Q17" i="57"/>
  <c r="U17" i="57"/>
  <c r="AM13" i="57"/>
  <c r="T13" i="57"/>
  <c r="AM11" i="57"/>
  <c r="T11" i="57"/>
  <c r="Q11" i="57"/>
  <c r="AN10" i="57"/>
  <c r="AM6" i="57"/>
  <c r="T6" i="57"/>
  <c r="AM4" i="57"/>
  <c r="AN3" i="57"/>
  <c r="T3" i="57"/>
  <c r="E59" i="56"/>
  <c r="E58" i="56"/>
  <c r="E54" i="56"/>
  <c r="I52" i="56"/>
  <c r="E52" i="56"/>
  <c r="D52" i="56"/>
  <c r="I51" i="56"/>
  <c r="E51" i="56"/>
  <c r="D51" i="56"/>
  <c r="I50" i="56"/>
  <c r="E50" i="56"/>
  <c r="D50" i="56"/>
  <c r="I49" i="56"/>
  <c r="E49" i="56"/>
  <c r="D49" i="56"/>
  <c r="I48" i="56"/>
  <c r="E48" i="56"/>
  <c r="D48" i="56"/>
  <c r="I47" i="56"/>
  <c r="E47" i="56"/>
  <c r="D47" i="56"/>
  <c r="I46" i="56"/>
  <c r="E46" i="56"/>
  <c r="D46" i="56"/>
  <c r="I45" i="56"/>
  <c r="E45" i="56"/>
  <c r="D45" i="56"/>
  <c r="I44" i="56"/>
  <c r="E44" i="56"/>
  <c r="D44" i="56"/>
  <c r="I43" i="56"/>
  <c r="E43" i="56"/>
  <c r="D43" i="56"/>
  <c r="I42" i="56"/>
  <c r="E42" i="56"/>
  <c r="D42" i="56"/>
  <c r="I41" i="56"/>
  <c r="E41" i="56"/>
  <c r="D41" i="56"/>
  <c r="I40" i="56"/>
  <c r="E40" i="56"/>
  <c r="D40" i="56"/>
  <c r="I39" i="56"/>
  <c r="E39" i="56"/>
  <c r="D39" i="56"/>
  <c r="I38" i="56"/>
  <c r="E38" i="56"/>
  <c r="D38" i="56"/>
  <c r="I37" i="56"/>
  <c r="E37" i="56"/>
  <c r="D37" i="56"/>
  <c r="I36" i="56"/>
  <c r="E36" i="56"/>
  <c r="D36" i="56"/>
  <c r="I35" i="56"/>
  <c r="E35" i="56"/>
  <c r="D35" i="56"/>
  <c r="I34" i="56"/>
  <c r="E34" i="56"/>
  <c r="D34" i="56"/>
  <c r="I33" i="56"/>
  <c r="E33" i="56"/>
  <c r="D33" i="56"/>
  <c r="I32" i="56"/>
  <c r="E32" i="56"/>
  <c r="D32" i="56"/>
  <c r="I31" i="56"/>
  <c r="E31" i="56"/>
  <c r="D31" i="56"/>
  <c r="I55" i="56"/>
  <c r="I64" i="56" s="1"/>
  <c r="E68" i="56" s="1"/>
  <c r="I30" i="56"/>
  <c r="E30" i="56"/>
  <c r="D30" i="56"/>
  <c r="E61" i="56"/>
  <c r="I29" i="56"/>
  <c r="E29" i="56"/>
  <c r="D29" i="56"/>
  <c r="I28" i="56"/>
  <c r="E28" i="56"/>
  <c r="D28" i="56"/>
  <c r="I27" i="56"/>
  <c r="E27" i="56"/>
  <c r="D27" i="56"/>
  <c r="I26" i="56"/>
  <c r="E26" i="56"/>
  <c r="D26" i="56"/>
  <c r="I25" i="56"/>
  <c r="E25" i="56"/>
  <c r="D25" i="56"/>
  <c r="I24" i="56"/>
  <c r="E24" i="56"/>
  <c r="D24" i="56"/>
  <c r="I56" i="56"/>
  <c r="I66" i="56" s="1"/>
  <c r="E69" i="56" s="1"/>
  <c r="I23" i="56"/>
  <c r="E23" i="56"/>
  <c r="D23" i="56"/>
  <c r="I22" i="56"/>
  <c r="E22" i="56"/>
  <c r="D22" i="56"/>
  <c r="I21" i="56"/>
  <c r="E21" i="56"/>
  <c r="D21" i="56"/>
  <c r="I20" i="56"/>
  <c r="E20" i="56"/>
  <c r="D20" i="56"/>
  <c r="I19" i="56"/>
  <c r="E19" i="56"/>
  <c r="D19" i="56"/>
  <c r="I18" i="56"/>
  <c r="E18" i="56"/>
  <c r="D18" i="56"/>
  <c r="I17" i="56"/>
  <c r="E17" i="56"/>
  <c r="D17" i="56"/>
  <c r="I16" i="56"/>
  <c r="E16" i="56"/>
  <c r="D16" i="56"/>
  <c r="E60" i="56"/>
  <c r="E57" i="56"/>
  <c r="I15" i="56"/>
  <c r="E15" i="56"/>
  <c r="D15" i="56"/>
  <c r="I14" i="56"/>
  <c r="E14" i="56"/>
  <c r="D14" i="56"/>
  <c r="I13" i="56"/>
  <c r="E13" i="56"/>
  <c r="D13" i="56"/>
  <c r="I12" i="56"/>
  <c r="E12" i="56"/>
  <c r="D12" i="56"/>
  <c r="I11" i="56"/>
  <c r="E11" i="56"/>
  <c r="D11" i="56"/>
  <c r="I10" i="56"/>
  <c r="E10" i="56"/>
  <c r="D10" i="56"/>
  <c r="I57" i="56"/>
  <c r="E66" i="56" s="1"/>
  <c r="I9" i="56"/>
  <c r="E9" i="56"/>
  <c r="D9" i="56"/>
  <c r="I8" i="56"/>
  <c r="E8" i="56"/>
  <c r="D8" i="56"/>
  <c r="I7" i="56"/>
  <c r="E7" i="56"/>
  <c r="D7" i="56"/>
  <c r="I6" i="56"/>
  <c r="E6" i="56"/>
  <c r="D6" i="56"/>
  <c r="Y32" i="54"/>
  <c r="X32" i="54"/>
  <c r="W32" i="54"/>
  <c r="V32" i="54"/>
  <c r="U32" i="54"/>
  <c r="T32" i="54"/>
  <c r="R32" i="54"/>
  <c r="Q32" i="54"/>
  <c r="P32" i="54"/>
  <c r="O32" i="54"/>
  <c r="N32" i="54"/>
  <c r="M32" i="54"/>
  <c r="Y31" i="54"/>
  <c r="X31" i="54"/>
  <c r="W31" i="54"/>
  <c r="V31" i="54"/>
  <c r="U31" i="54"/>
  <c r="T31" i="54"/>
  <c r="R31" i="54"/>
  <c r="Q31" i="54"/>
  <c r="P31" i="54"/>
  <c r="O31" i="54"/>
  <c r="N31" i="54"/>
  <c r="M31" i="54"/>
  <c r="Y30" i="54"/>
  <c r="X30" i="54"/>
  <c r="W30" i="54"/>
  <c r="V30" i="54"/>
  <c r="U30" i="54"/>
  <c r="T30" i="54"/>
  <c r="R30" i="54"/>
  <c r="Q30" i="54"/>
  <c r="P30" i="54"/>
  <c r="O30" i="54"/>
  <c r="N30" i="54"/>
  <c r="M30" i="54"/>
  <c r="Y29" i="54"/>
  <c r="X29" i="54"/>
  <c r="W29" i="54"/>
  <c r="V29" i="54"/>
  <c r="U29" i="54"/>
  <c r="T29" i="54"/>
  <c r="R29" i="54"/>
  <c r="Q29" i="54"/>
  <c r="P29" i="54"/>
  <c r="O29" i="54"/>
  <c r="N29" i="54"/>
  <c r="M29" i="54"/>
  <c r="E56" i="54" s="1"/>
  <c r="Y25" i="54"/>
  <c r="X25" i="54"/>
  <c r="W25" i="54"/>
  <c r="V25" i="54"/>
  <c r="U25" i="54"/>
  <c r="T25" i="54"/>
  <c r="R25" i="54"/>
  <c r="Q25" i="54"/>
  <c r="P25" i="54"/>
  <c r="O25" i="54"/>
  <c r="N25" i="54"/>
  <c r="M25" i="54"/>
  <c r="Y24" i="54"/>
  <c r="X24" i="54"/>
  <c r="W24" i="54"/>
  <c r="V24" i="54"/>
  <c r="U24" i="54"/>
  <c r="T24" i="54"/>
  <c r="R24" i="54"/>
  <c r="Q24" i="54"/>
  <c r="P24" i="54"/>
  <c r="O24" i="54"/>
  <c r="N24" i="54"/>
  <c r="M24" i="54"/>
  <c r="Y23" i="54"/>
  <c r="X23" i="54"/>
  <c r="W23" i="54"/>
  <c r="V23" i="54"/>
  <c r="U23" i="54"/>
  <c r="T23" i="54"/>
  <c r="R23" i="54"/>
  <c r="Q23" i="54"/>
  <c r="P23" i="54"/>
  <c r="O23" i="54"/>
  <c r="N23" i="54"/>
  <c r="M23" i="54"/>
  <c r="Y22" i="54"/>
  <c r="X22" i="54"/>
  <c r="W22" i="54"/>
  <c r="V22" i="54"/>
  <c r="U22" i="54"/>
  <c r="T22" i="54"/>
  <c r="E59" i="54" s="1"/>
  <c r="R22" i="54"/>
  <c r="Q22" i="54"/>
  <c r="P22" i="54"/>
  <c r="O22" i="54"/>
  <c r="N22" i="54"/>
  <c r="M22" i="54"/>
  <c r="E55" i="54" s="1"/>
  <c r="Y18" i="54"/>
  <c r="X18" i="54"/>
  <c r="W18" i="54"/>
  <c r="V18" i="54"/>
  <c r="U18" i="54"/>
  <c r="T18" i="54"/>
  <c r="R18" i="54"/>
  <c r="Q18" i="54"/>
  <c r="M18" i="54"/>
  <c r="Y17" i="54"/>
  <c r="X17" i="54"/>
  <c r="W17" i="54"/>
  <c r="V17" i="54"/>
  <c r="U17" i="54"/>
  <c r="T17" i="54"/>
  <c r="Q17" i="54"/>
  <c r="O17" i="54"/>
  <c r="N17" i="54"/>
  <c r="M17" i="54"/>
  <c r="Y16" i="54"/>
  <c r="X16" i="54"/>
  <c r="W16" i="54"/>
  <c r="V16" i="54"/>
  <c r="U16" i="54"/>
  <c r="T16" i="54"/>
  <c r="O16" i="54"/>
  <c r="N16" i="54"/>
  <c r="M16" i="54"/>
  <c r="Y15" i="54"/>
  <c r="X15" i="54"/>
  <c r="W15" i="54"/>
  <c r="V15" i="54"/>
  <c r="U15" i="54"/>
  <c r="T15" i="54"/>
  <c r="E60" i="54" s="1"/>
  <c r="M15" i="54"/>
  <c r="E57" i="54" s="1"/>
  <c r="Y11" i="54"/>
  <c r="X11" i="54"/>
  <c r="W11" i="54"/>
  <c r="V11" i="54"/>
  <c r="U11" i="54"/>
  <c r="T11" i="54"/>
  <c r="Q11" i="54"/>
  <c r="M11" i="54"/>
  <c r="Y10" i="54"/>
  <c r="X10" i="54"/>
  <c r="W10" i="54"/>
  <c r="V10" i="54"/>
  <c r="U10" i="54"/>
  <c r="T10" i="54"/>
  <c r="Q10" i="54"/>
  <c r="N10" i="54"/>
  <c r="M10" i="54"/>
  <c r="Y9" i="54"/>
  <c r="X9" i="54"/>
  <c r="W9" i="54"/>
  <c r="V9" i="54"/>
  <c r="U9" i="54"/>
  <c r="T9" i="54"/>
  <c r="Q9" i="54"/>
  <c r="O9" i="54"/>
  <c r="M9" i="54"/>
  <c r="Y8" i="54"/>
  <c r="X8" i="54"/>
  <c r="W8" i="54"/>
  <c r="V8" i="54"/>
  <c r="U8" i="54"/>
  <c r="T8" i="54"/>
  <c r="E58" i="54" s="1"/>
  <c r="M8" i="54"/>
  <c r="E54" i="54" s="1"/>
  <c r="AK27" i="55"/>
  <c r="AJ27" i="55"/>
  <c r="AH27" i="55"/>
  <c r="AP27" i="55" s="1"/>
  <c r="AD27" i="55"/>
  <c r="AC27" i="55"/>
  <c r="AA27" i="55"/>
  <c r="Z27" i="55"/>
  <c r="AB27" i="55" s="1"/>
  <c r="P27" i="55"/>
  <c r="U27" i="55" s="1"/>
  <c r="O27" i="55"/>
  <c r="M27" i="55"/>
  <c r="I27" i="55"/>
  <c r="H27" i="55"/>
  <c r="F27" i="55"/>
  <c r="E27" i="55"/>
  <c r="AK26" i="55"/>
  <c r="AI26" i="55"/>
  <c r="AM26" i="55" s="1"/>
  <c r="AG26" i="55"/>
  <c r="AD26" i="55"/>
  <c r="AC26" i="55"/>
  <c r="AA26" i="55"/>
  <c r="AB26" i="55" s="1"/>
  <c r="Z26" i="55"/>
  <c r="P26" i="55"/>
  <c r="N26" i="55"/>
  <c r="R26" i="55" s="1"/>
  <c r="L26" i="55"/>
  <c r="U26" i="55" s="1"/>
  <c r="I26" i="55"/>
  <c r="H26" i="55"/>
  <c r="F26" i="55"/>
  <c r="E26" i="55"/>
  <c r="AJ25" i="55"/>
  <c r="AI25" i="55"/>
  <c r="AM25" i="55" s="1"/>
  <c r="AF25" i="55"/>
  <c r="AP25" i="55" s="1"/>
  <c r="AD25" i="55"/>
  <c r="AC25" i="55"/>
  <c r="AA25" i="55"/>
  <c r="Z25" i="55"/>
  <c r="O25" i="55"/>
  <c r="R25" i="55" s="1"/>
  <c r="N25" i="55"/>
  <c r="K25" i="55"/>
  <c r="T25" i="55" s="1"/>
  <c r="I25" i="55"/>
  <c r="H25" i="55"/>
  <c r="F25" i="55"/>
  <c r="E25" i="55"/>
  <c r="AH24" i="55"/>
  <c r="AG24" i="55"/>
  <c r="AN24" i="55" s="1"/>
  <c r="AF24" i="55"/>
  <c r="AD24" i="55"/>
  <c r="AC24" i="55"/>
  <c r="AA24" i="55"/>
  <c r="AB24" i="55" s="1"/>
  <c r="Z24" i="55"/>
  <c r="M24" i="55"/>
  <c r="L24" i="55"/>
  <c r="K24" i="55"/>
  <c r="T24" i="55" s="1"/>
  <c r="I24" i="55"/>
  <c r="H24" i="55"/>
  <c r="F24" i="55"/>
  <c r="E24" i="55"/>
  <c r="AK20" i="55"/>
  <c r="AJ20" i="55"/>
  <c r="AH20" i="55"/>
  <c r="AP20" i="55" s="1"/>
  <c r="AD20" i="55"/>
  <c r="AC20" i="55"/>
  <c r="AA20" i="55"/>
  <c r="Z20" i="55"/>
  <c r="AB20" i="55" s="1"/>
  <c r="P20" i="55"/>
  <c r="U20" i="55" s="1"/>
  <c r="O20" i="55"/>
  <c r="M20" i="55"/>
  <c r="I20" i="55"/>
  <c r="H20" i="55"/>
  <c r="F20" i="55"/>
  <c r="E20" i="55"/>
  <c r="AK19" i="55"/>
  <c r="AI19" i="55"/>
  <c r="AM19" i="55" s="1"/>
  <c r="AG19" i="55"/>
  <c r="AD19" i="55"/>
  <c r="AC19" i="55"/>
  <c r="AA19" i="55"/>
  <c r="AB19" i="55" s="1"/>
  <c r="Z19" i="55"/>
  <c r="P19" i="55"/>
  <c r="N19" i="55"/>
  <c r="R19" i="55" s="1"/>
  <c r="L19" i="55"/>
  <c r="U19" i="55" s="1"/>
  <c r="I19" i="55"/>
  <c r="H19" i="55"/>
  <c r="F19" i="55"/>
  <c r="E19" i="55"/>
  <c r="AJ18" i="55"/>
  <c r="AI18" i="55"/>
  <c r="AM18" i="55" s="1"/>
  <c r="AF18" i="55"/>
  <c r="AP18" i="55" s="1"/>
  <c r="AD18" i="55"/>
  <c r="AC18" i="55"/>
  <c r="AA18" i="55"/>
  <c r="Z18" i="55"/>
  <c r="O18" i="55"/>
  <c r="R18" i="55" s="1"/>
  <c r="N18" i="55"/>
  <c r="K18" i="55"/>
  <c r="T18" i="55" s="1"/>
  <c r="I18" i="55"/>
  <c r="H18" i="55"/>
  <c r="F18" i="55"/>
  <c r="E18" i="55"/>
  <c r="AH17" i="55"/>
  <c r="AG17" i="55"/>
  <c r="AN17" i="55" s="1"/>
  <c r="AF17" i="55"/>
  <c r="AD17" i="55"/>
  <c r="AC17" i="55"/>
  <c r="AA17" i="55"/>
  <c r="AB17" i="55" s="1"/>
  <c r="Z17" i="55"/>
  <c r="M17" i="55"/>
  <c r="L17" i="55"/>
  <c r="K17" i="55"/>
  <c r="T17" i="55" s="1"/>
  <c r="I17" i="55"/>
  <c r="H17" i="55"/>
  <c r="F17" i="55"/>
  <c r="E17" i="55"/>
  <c r="AK13" i="55"/>
  <c r="AJ13" i="55"/>
  <c r="AH13" i="55"/>
  <c r="AP13" i="55" s="1"/>
  <c r="AD13" i="55"/>
  <c r="AC13" i="55"/>
  <c r="AA13" i="55"/>
  <c r="Z13" i="55"/>
  <c r="AB13" i="55" s="1"/>
  <c r="P13" i="55"/>
  <c r="U13" i="55" s="1"/>
  <c r="O13" i="55"/>
  <c r="M13" i="55"/>
  <c r="I13" i="55"/>
  <c r="H13" i="55"/>
  <c r="F13" i="55"/>
  <c r="E13" i="55"/>
  <c r="N18" i="54" s="1"/>
  <c r="AK12" i="55"/>
  <c r="AI12" i="55"/>
  <c r="AM12" i="55" s="1"/>
  <c r="AG12" i="55"/>
  <c r="AD12" i="55"/>
  <c r="AC12" i="55"/>
  <c r="AA12" i="55"/>
  <c r="AB12" i="55" s="1"/>
  <c r="Z12" i="55"/>
  <c r="P12" i="55"/>
  <c r="N12" i="55"/>
  <c r="R12" i="55" s="1"/>
  <c r="L12" i="55"/>
  <c r="I12" i="55"/>
  <c r="R17" i="54" s="1"/>
  <c r="H12" i="55"/>
  <c r="F12" i="55"/>
  <c r="E12" i="55"/>
  <c r="AJ11" i="55"/>
  <c r="AI11" i="55"/>
  <c r="AM11" i="55" s="1"/>
  <c r="AF11" i="55"/>
  <c r="AP11" i="55" s="1"/>
  <c r="AD11" i="55"/>
  <c r="AC11" i="55"/>
  <c r="AA11" i="55"/>
  <c r="Z11" i="55"/>
  <c r="O11" i="55"/>
  <c r="R11" i="55" s="1"/>
  <c r="N11" i="55"/>
  <c r="K11" i="55"/>
  <c r="T11" i="55" s="1"/>
  <c r="I11" i="55"/>
  <c r="R16" i="54" s="1"/>
  <c r="H11" i="55"/>
  <c r="Q16" i="54" s="1"/>
  <c r="F11" i="55"/>
  <c r="E11" i="55"/>
  <c r="G11" i="55" s="1"/>
  <c r="P16" i="54" s="1"/>
  <c r="AH10" i="55"/>
  <c r="AG10" i="55"/>
  <c r="AN10" i="55" s="1"/>
  <c r="AF10" i="55"/>
  <c r="AD10" i="55"/>
  <c r="AC10" i="55"/>
  <c r="AA10" i="55"/>
  <c r="AB10" i="55" s="1"/>
  <c r="Z10" i="55"/>
  <c r="M10" i="55"/>
  <c r="L10" i="55"/>
  <c r="K10" i="55"/>
  <c r="T10" i="55" s="1"/>
  <c r="I10" i="55"/>
  <c r="R15" i="54" s="1"/>
  <c r="H10" i="55"/>
  <c r="Q15" i="54" s="1"/>
  <c r="F10" i="55"/>
  <c r="O15" i="54" s="1"/>
  <c r="E10" i="55"/>
  <c r="AK6" i="55"/>
  <c r="AJ6" i="55"/>
  <c r="AH6" i="55"/>
  <c r="AP6" i="55" s="1"/>
  <c r="AD6" i="55"/>
  <c r="AC6" i="55"/>
  <c r="AA6" i="55"/>
  <c r="Z6" i="55"/>
  <c r="AB6" i="55" s="1"/>
  <c r="P6" i="55"/>
  <c r="U6" i="55" s="1"/>
  <c r="O6" i="55"/>
  <c r="M6" i="55"/>
  <c r="I6" i="55"/>
  <c r="R11" i="54" s="1"/>
  <c r="H6" i="55"/>
  <c r="F6" i="55"/>
  <c r="O11" i="54" s="1"/>
  <c r="E6" i="55"/>
  <c r="N11" i="54" s="1"/>
  <c r="AK5" i="55"/>
  <c r="AI5" i="55"/>
  <c r="AM5" i="55" s="1"/>
  <c r="AG5" i="55"/>
  <c r="AD5" i="55"/>
  <c r="AC5" i="55"/>
  <c r="AA5" i="55"/>
  <c r="AB5" i="55" s="1"/>
  <c r="Z5" i="55"/>
  <c r="P5" i="55"/>
  <c r="N5" i="55"/>
  <c r="R5" i="55" s="1"/>
  <c r="L5" i="55"/>
  <c r="U5" i="55" s="1"/>
  <c r="I5" i="55"/>
  <c r="R10" i="54" s="1"/>
  <c r="H5" i="55"/>
  <c r="F5" i="55"/>
  <c r="O10" i="54" s="1"/>
  <c r="E5" i="55"/>
  <c r="AJ4" i="55"/>
  <c r="AI4" i="55"/>
  <c r="AM4" i="55" s="1"/>
  <c r="AF4" i="55"/>
  <c r="AP4" i="55" s="1"/>
  <c r="AD4" i="55"/>
  <c r="AC4" i="55"/>
  <c r="AA4" i="55"/>
  <c r="Z4" i="55"/>
  <c r="O4" i="55"/>
  <c r="R4" i="55" s="1"/>
  <c r="N4" i="55"/>
  <c r="K4" i="55"/>
  <c r="T4" i="55" s="1"/>
  <c r="I4" i="55"/>
  <c r="R9" i="54" s="1"/>
  <c r="H4" i="55"/>
  <c r="F4" i="55"/>
  <c r="E4" i="55"/>
  <c r="N9" i="54" s="1"/>
  <c r="AH3" i="55"/>
  <c r="AG3" i="55"/>
  <c r="AN3" i="55" s="1"/>
  <c r="AF3" i="55"/>
  <c r="AD3" i="55"/>
  <c r="AC3" i="55"/>
  <c r="AA3" i="55"/>
  <c r="AB3" i="55" s="1"/>
  <c r="Z3" i="55"/>
  <c r="M3" i="55"/>
  <c r="L3" i="55"/>
  <c r="K3" i="55"/>
  <c r="T3" i="55" s="1"/>
  <c r="I3" i="55"/>
  <c r="R8" i="54" s="1"/>
  <c r="H3" i="55"/>
  <c r="Q8" i="54" s="1"/>
  <c r="F3" i="55"/>
  <c r="O8" i="54" s="1"/>
  <c r="E3" i="55"/>
  <c r="N8" i="54" s="1"/>
  <c r="AM27" i="55"/>
  <c r="T27" i="55"/>
  <c r="G27" i="55"/>
  <c r="G26" i="55"/>
  <c r="AB25" i="55"/>
  <c r="U25" i="55"/>
  <c r="Q25" i="55"/>
  <c r="G25" i="55"/>
  <c r="U24" i="55"/>
  <c r="S24" i="55"/>
  <c r="Q24" i="55"/>
  <c r="G24" i="55"/>
  <c r="AM20" i="55"/>
  <c r="T20" i="55"/>
  <c r="G20" i="55"/>
  <c r="G19" i="55"/>
  <c r="AB18" i="55"/>
  <c r="U18" i="55"/>
  <c r="Q18" i="55"/>
  <c r="G18" i="55"/>
  <c r="U17" i="55"/>
  <c r="S17" i="55"/>
  <c r="Q17" i="55"/>
  <c r="G17" i="55"/>
  <c r="AM13" i="55"/>
  <c r="T13" i="55"/>
  <c r="G12" i="55"/>
  <c r="P17" i="54" s="1"/>
  <c r="AB11" i="55"/>
  <c r="Q11" i="55"/>
  <c r="S10" i="55"/>
  <c r="AM6" i="55"/>
  <c r="T6" i="55"/>
  <c r="AB4" i="55"/>
  <c r="G4" i="55"/>
  <c r="P9" i="54" s="1"/>
  <c r="S3" i="55"/>
  <c r="Q3" i="55"/>
  <c r="G3" i="55"/>
  <c r="P8" i="54" s="1"/>
  <c r="E65" i="54"/>
  <c r="E61" i="54"/>
  <c r="I60" i="54"/>
  <c r="I59" i="54"/>
  <c r="I63" i="54" s="1"/>
  <c r="I68" i="54" s="1"/>
  <c r="I55" i="54"/>
  <c r="I64" i="54" s="1"/>
  <c r="E68" i="54" s="1"/>
  <c r="I52" i="54"/>
  <c r="E52" i="54"/>
  <c r="D52" i="54"/>
  <c r="I51" i="54"/>
  <c r="E51" i="54"/>
  <c r="D51" i="54"/>
  <c r="I50" i="54"/>
  <c r="E50" i="54"/>
  <c r="D50" i="54"/>
  <c r="I49" i="54"/>
  <c r="E49" i="54"/>
  <c r="D49" i="54"/>
  <c r="I48" i="54"/>
  <c r="E48" i="54"/>
  <c r="D48" i="54"/>
  <c r="I47" i="54"/>
  <c r="E47" i="54"/>
  <c r="D47" i="54"/>
  <c r="I46" i="54"/>
  <c r="E46" i="54"/>
  <c r="D46" i="54"/>
  <c r="I45" i="54"/>
  <c r="E45" i="54"/>
  <c r="D45" i="54"/>
  <c r="I44" i="54"/>
  <c r="E44" i="54"/>
  <c r="D44" i="54"/>
  <c r="I43" i="54"/>
  <c r="E43" i="54"/>
  <c r="D43" i="54"/>
  <c r="I42" i="54"/>
  <c r="E42" i="54"/>
  <c r="D42" i="54"/>
  <c r="I41" i="54"/>
  <c r="E41" i="54"/>
  <c r="D41" i="54"/>
  <c r="I40" i="54"/>
  <c r="E40" i="54"/>
  <c r="D40" i="54"/>
  <c r="I39" i="54"/>
  <c r="E39" i="54"/>
  <c r="D39" i="54"/>
  <c r="I38" i="54"/>
  <c r="E38" i="54"/>
  <c r="D38" i="54"/>
  <c r="I37" i="54"/>
  <c r="E37" i="54"/>
  <c r="D37" i="54"/>
  <c r="I36" i="54"/>
  <c r="E36" i="54"/>
  <c r="D36" i="54"/>
  <c r="I35" i="54"/>
  <c r="E35" i="54"/>
  <c r="D35" i="54"/>
  <c r="I34" i="54"/>
  <c r="E34" i="54"/>
  <c r="D34" i="54"/>
  <c r="I33" i="54"/>
  <c r="E33" i="54"/>
  <c r="D33" i="54"/>
  <c r="I32" i="54"/>
  <c r="E32" i="54"/>
  <c r="D32" i="54"/>
  <c r="I31" i="54"/>
  <c r="E31" i="54"/>
  <c r="D31" i="54"/>
  <c r="I30" i="54"/>
  <c r="E30" i="54"/>
  <c r="D30" i="54"/>
  <c r="I29" i="54"/>
  <c r="E29" i="54"/>
  <c r="D29" i="54"/>
  <c r="I28" i="54"/>
  <c r="E28" i="54"/>
  <c r="D28" i="54"/>
  <c r="I27" i="54"/>
  <c r="E27" i="54"/>
  <c r="D27" i="54"/>
  <c r="I26" i="54"/>
  <c r="E26" i="54"/>
  <c r="D26" i="54"/>
  <c r="I25" i="54"/>
  <c r="E25" i="54"/>
  <c r="D25" i="54"/>
  <c r="I24" i="54"/>
  <c r="E24" i="54"/>
  <c r="D24" i="54"/>
  <c r="I61" i="54"/>
  <c r="I65" i="54" s="1"/>
  <c r="I69" i="54" s="1"/>
  <c r="I56" i="54"/>
  <c r="I66" i="54" s="1"/>
  <c r="E69" i="54" s="1"/>
  <c r="I23" i="54"/>
  <c r="E23" i="54"/>
  <c r="D23" i="54"/>
  <c r="I22" i="54"/>
  <c r="E22" i="54"/>
  <c r="D22" i="54"/>
  <c r="I21" i="54"/>
  <c r="E21" i="54"/>
  <c r="D21" i="54"/>
  <c r="I20" i="54"/>
  <c r="E20" i="54"/>
  <c r="D20" i="54"/>
  <c r="I19" i="54"/>
  <c r="E19" i="54"/>
  <c r="D19" i="54"/>
  <c r="I18" i="54"/>
  <c r="E18" i="54"/>
  <c r="D18" i="54"/>
  <c r="I17" i="54"/>
  <c r="E17" i="54"/>
  <c r="D17" i="54"/>
  <c r="I58" i="54"/>
  <c r="E63" i="54" s="1"/>
  <c r="I54" i="54"/>
  <c r="E64" i="54" s="1"/>
  <c r="I16" i="54"/>
  <c r="E16" i="54"/>
  <c r="D16" i="54"/>
  <c r="I15" i="54"/>
  <c r="E15" i="54"/>
  <c r="D15" i="54"/>
  <c r="I14" i="54"/>
  <c r="E14" i="54"/>
  <c r="D14" i="54"/>
  <c r="I13" i="54"/>
  <c r="E13" i="54"/>
  <c r="D13" i="54"/>
  <c r="I12" i="54"/>
  <c r="E12" i="54"/>
  <c r="D12" i="54"/>
  <c r="I11" i="54"/>
  <c r="E11" i="54"/>
  <c r="D11" i="54"/>
  <c r="I10" i="54"/>
  <c r="E10" i="54"/>
  <c r="D10" i="54"/>
  <c r="I57" i="54"/>
  <c r="E66" i="54" s="1"/>
  <c r="I9" i="54"/>
  <c r="E9" i="54"/>
  <c r="D9" i="54"/>
  <c r="I8" i="54"/>
  <c r="E8" i="54"/>
  <c r="D8" i="54"/>
  <c r="I7" i="54"/>
  <c r="E7" i="54"/>
  <c r="D7" i="54"/>
  <c r="I6" i="54"/>
  <c r="E6" i="54"/>
  <c r="D6" i="54"/>
  <c r="AI26" i="20"/>
  <c r="AI25" i="20"/>
  <c r="AH27" i="20"/>
  <c r="AH24" i="20"/>
  <c r="AO24" i="20"/>
  <c r="AJ25" i="20"/>
  <c r="AJ27" i="20"/>
  <c r="AM27" i="20"/>
  <c r="AG26" i="20"/>
  <c r="AG24" i="20"/>
  <c r="AK27" i="20"/>
  <c r="AK26" i="20"/>
  <c r="AF25" i="20"/>
  <c r="AF24" i="20"/>
  <c r="AH20" i="20"/>
  <c r="AH17" i="20"/>
  <c r="AI19" i="20"/>
  <c r="AI18" i="20"/>
  <c r="AJ20" i="20"/>
  <c r="AJ18" i="20"/>
  <c r="AG19" i="20"/>
  <c r="AG17" i="20"/>
  <c r="AK20" i="20"/>
  <c r="AK19" i="20"/>
  <c r="AF18" i="20"/>
  <c r="AF17" i="20"/>
  <c r="AK13" i="20"/>
  <c r="AK12" i="20"/>
  <c r="AJ13" i="20"/>
  <c r="AM13" i="20"/>
  <c r="AJ11" i="20"/>
  <c r="AI12" i="20"/>
  <c r="AI11" i="20"/>
  <c r="AH13" i="20"/>
  <c r="AH10" i="20"/>
  <c r="AG12" i="20"/>
  <c r="AG10" i="20"/>
  <c r="AF11" i="20"/>
  <c r="AF10" i="20"/>
  <c r="AK6" i="20"/>
  <c r="AK5" i="20"/>
  <c r="AJ6" i="20"/>
  <c r="AJ4" i="20"/>
  <c r="AI5" i="20"/>
  <c r="AI4" i="20"/>
  <c r="AH6" i="20"/>
  <c r="AH3" i="20"/>
  <c r="AO3" i="20"/>
  <c r="AG5" i="20"/>
  <c r="AG3" i="20"/>
  <c r="AF4" i="20"/>
  <c r="AF3" i="20"/>
  <c r="AL26" i="20"/>
  <c r="AL25" i="20"/>
  <c r="AM25" i="20"/>
  <c r="AN24" i="20"/>
  <c r="AO27" i="20"/>
  <c r="AP27" i="20"/>
  <c r="AN26" i="20"/>
  <c r="AP24" i="20"/>
  <c r="AL24" i="20"/>
  <c r="AP26" i="20"/>
  <c r="AM26" i="20"/>
  <c r="AO25" i="20"/>
  <c r="AN17" i="20"/>
  <c r="AO17" i="20"/>
  <c r="AL19" i="20"/>
  <c r="AP18" i="20"/>
  <c r="AO18" i="20"/>
  <c r="AM18" i="20"/>
  <c r="AM20" i="20"/>
  <c r="AN20" i="20"/>
  <c r="AM19" i="20"/>
  <c r="AL17" i="20"/>
  <c r="AP17" i="20"/>
  <c r="AN13" i="20"/>
  <c r="AM12" i="20"/>
  <c r="AM11" i="20"/>
  <c r="AL12" i="20"/>
  <c r="AP11" i="20"/>
  <c r="AN10" i="20"/>
  <c r="AL10" i="20"/>
  <c r="AO11" i="20"/>
  <c r="AP10" i="20"/>
  <c r="AO10" i="20"/>
  <c r="AM6" i="20"/>
  <c r="AN5" i="20"/>
  <c r="AM5" i="20"/>
  <c r="AP6" i="20"/>
  <c r="AM4" i="20"/>
  <c r="AL4" i="20"/>
  <c r="AP4" i="20"/>
  <c r="AN3" i="20"/>
  <c r="AP3" i="20"/>
  <c r="AP5" i="20"/>
  <c r="AL3" i="20"/>
  <c r="AO4" i="20"/>
  <c r="AP25" i="20"/>
  <c r="AN27" i="20"/>
  <c r="AL18" i="20"/>
  <c r="AO20" i="20"/>
  <c r="AN19" i="20"/>
  <c r="AP20" i="20"/>
  <c r="AP19" i="20"/>
  <c r="AL11" i="20"/>
  <c r="AO13" i="20"/>
  <c r="AN12" i="20"/>
  <c r="AP13" i="20"/>
  <c r="AP12" i="20"/>
  <c r="AL5" i="20"/>
  <c r="AN6" i="20"/>
  <c r="AO6" i="20"/>
  <c r="I6" i="20"/>
  <c r="I5" i="20"/>
  <c r="F6" i="20"/>
  <c r="F5" i="20"/>
  <c r="E6" i="20"/>
  <c r="E5" i="20"/>
  <c r="H6" i="20"/>
  <c r="H5" i="20"/>
  <c r="I11" i="20"/>
  <c r="I10" i="20"/>
  <c r="H11" i="20"/>
  <c r="H10" i="20"/>
  <c r="F11" i="20"/>
  <c r="F10" i="20"/>
  <c r="E11" i="20"/>
  <c r="E10" i="20"/>
  <c r="I3" i="20"/>
  <c r="P27" i="20"/>
  <c r="O27" i="20"/>
  <c r="R27" i="20"/>
  <c r="M27" i="20"/>
  <c r="P26" i="20"/>
  <c r="N26" i="20"/>
  <c r="L26" i="20"/>
  <c r="O25" i="20"/>
  <c r="N25" i="20"/>
  <c r="K25" i="20"/>
  <c r="M24" i="20"/>
  <c r="L24" i="20"/>
  <c r="K24" i="20"/>
  <c r="P20" i="20"/>
  <c r="O20" i="20"/>
  <c r="R20" i="20"/>
  <c r="M20" i="20"/>
  <c r="P19" i="20"/>
  <c r="N19" i="20"/>
  <c r="L19" i="20"/>
  <c r="O18" i="20"/>
  <c r="N18" i="20"/>
  <c r="K18" i="20"/>
  <c r="M17" i="20"/>
  <c r="L17" i="20"/>
  <c r="K17" i="20"/>
  <c r="P13" i="20"/>
  <c r="O13" i="20"/>
  <c r="M13" i="20"/>
  <c r="P12" i="20"/>
  <c r="N12" i="20"/>
  <c r="L12" i="20"/>
  <c r="O11" i="20"/>
  <c r="N11" i="20"/>
  <c r="K11" i="20"/>
  <c r="M10" i="20"/>
  <c r="L10" i="20"/>
  <c r="K10" i="20"/>
  <c r="P6" i="20"/>
  <c r="O6" i="20"/>
  <c r="M6" i="20"/>
  <c r="P5" i="20"/>
  <c r="N5" i="20"/>
  <c r="L5" i="20"/>
  <c r="O4" i="20"/>
  <c r="N4" i="20"/>
  <c r="K4" i="20"/>
  <c r="M3" i="20"/>
  <c r="L3" i="20"/>
  <c r="K3" i="20"/>
  <c r="Z3" i="20"/>
  <c r="AA3" i="20"/>
  <c r="AC3" i="20"/>
  <c r="AD3" i="20"/>
  <c r="Z4" i="20"/>
  <c r="AA4" i="20"/>
  <c r="AC4" i="20"/>
  <c r="AD4" i="20"/>
  <c r="Z5" i="20"/>
  <c r="AA5" i="20"/>
  <c r="AC5" i="20"/>
  <c r="AD5" i="20"/>
  <c r="Z6" i="20"/>
  <c r="AA6" i="20"/>
  <c r="AC6" i="20"/>
  <c r="AD6" i="20"/>
  <c r="Z10" i="20"/>
  <c r="AA10" i="20"/>
  <c r="AC10" i="20"/>
  <c r="AD10" i="20"/>
  <c r="Z11" i="20"/>
  <c r="AA11" i="20"/>
  <c r="AC11" i="20"/>
  <c r="AD11" i="20"/>
  <c r="Z12" i="20"/>
  <c r="AA12" i="20"/>
  <c r="AC12" i="20"/>
  <c r="AD12" i="20"/>
  <c r="Z13" i="20"/>
  <c r="AA13" i="20"/>
  <c r="AC13" i="20"/>
  <c r="AD13" i="20"/>
  <c r="AJ27" i="53"/>
  <c r="AM27" i="53" s="1"/>
  <c r="AJ25" i="53"/>
  <c r="AI26" i="53"/>
  <c r="AL26" i="53" s="1"/>
  <c r="AI25" i="53"/>
  <c r="AM25" i="53" s="1"/>
  <c r="AH27" i="53"/>
  <c r="AH24" i="53"/>
  <c r="AG26" i="53"/>
  <c r="AG24" i="53"/>
  <c r="AN24" i="53" s="1"/>
  <c r="AK27" i="53"/>
  <c r="AK26" i="53"/>
  <c r="AF25" i="53"/>
  <c r="AF24" i="53"/>
  <c r="AO24" i="53" s="1"/>
  <c r="AJ20" i="53"/>
  <c r="AJ18" i="53"/>
  <c r="AI19" i="53"/>
  <c r="AI18" i="53"/>
  <c r="AH20" i="53"/>
  <c r="AN20" i="53" s="1"/>
  <c r="AH17" i="53"/>
  <c r="AG19" i="53"/>
  <c r="AP19" i="53" s="1"/>
  <c r="AG17" i="53"/>
  <c r="AN17" i="53" s="1"/>
  <c r="AK20" i="53"/>
  <c r="AK19" i="53"/>
  <c r="AF18" i="53"/>
  <c r="AO18" i="53" s="1"/>
  <c r="AF17" i="53"/>
  <c r="AJ13" i="53"/>
  <c r="AJ11" i="53"/>
  <c r="AI12" i="53"/>
  <c r="AI11" i="53"/>
  <c r="AH13" i="53"/>
  <c r="AH10" i="53"/>
  <c r="AG12" i="53"/>
  <c r="AG10" i="53"/>
  <c r="AK13" i="53"/>
  <c r="AK12" i="53"/>
  <c r="AF11" i="53"/>
  <c r="AF10" i="53"/>
  <c r="AL10" i="53" s="1"/>
  <c r="AK6" i="53"/>
  <c r="AK5" i="53"/>
  <c r="AJ6" i="53"/>
  <c r="AJ4" i="53"/>
  <c r="AI5" i="53"/>
  <c r="AP5" i="53"/>
  <c r="AI4" i="53"/>
  <c r="AL4" i="53" s="1"/>
  <c r="AH6" i="53"/>
  <c r="AN6" i="53" s="1"/>
  <c r="AH3" i="53"/>
  <c r="AG5" i="53"/>
  <c r="AG3" i="53"/>
  <c r="AF4" i="53"/>
  <c r="AF3" i="53"/>
  <c r="AO3" i="53"/>
  <c r="P27" i="53"/>
  <c r="P26" i="53"/>
  <c r="O27" i="53"/>
  <c r="O25" i="53"/>
  <c r="N26" i="53"/>
  <c r="N25" i="53"/>
  <c r="Q25" i="53" s="1"/>
  <c r="M27" i="53"/>
  <c r="M24" i="53"/>
  <c r="L26" i="53"/>
  <c r="Q26" i="53" s="1"/>
  <c r="L24" i="53"/>
  <c r="K25" i="53"/>
  <c r="K24" i="53"/>
  <c r="P20" i="53"/>
  <c r="P19" i="53"/>
  <c r="O20" i="53"/>
  <c r="O18" i="53"/>
  <c r="N19" i="53"/>
  <c r="R19" i="53" s="1"/>
  <c r="N18" i="53"/>
  <c r="M20" i="53"/>
  <c r="M17" i="53"/>
  <c r="L19" i="53"/>
  <c r="L17" i="53"/>
  <c r="S17" i="53" s="1"/>
  <c r="K18" i="53"/>
  <c r="K17" i="53"/>
  <c r="P13" i="53"/>
  <c r="P12" i="53"/>
  <c r="O13" i="53"/>
  <c r="O11" i="53"/>
  <c r="N12" i="53"/>
  <c r="N11" i="53"/>
  <c r="M13" i="53"/>
  <c r="M10" i="53"/>
  <c r="L12" i="53"/>
  <c r="Q12" i="53" s="1"/>
  <c r="L10" i="53"/>
  <c r="Q10" i="53" s="1"/>
  <c r="K11" i="53"/>
  <c r="AM19" i="53"/>
  <c r="AN3" i="53"/>
  <c r="K10" i="53"/>
  <c r="P6" i="53"/>
  <c r="P5" i="53"/>
  <c r="U5" i="53" s="1"/>
  <c r="O6" i="53"/>
  <c r="O4" i="53"/>
  <c r="N5" i="53"/>
  <c r="N4" i="53"/>
  <c r="M6" i="53"/>
  <c r="M3" i="53"/>
  <c r="L5" i="53"/>
  <c r="L3" i="53"/>
  <c r="K4" i="53"/>
  <c r="K3" i="53"/>
  <c r="AM18" i="53"/>
  <c r="AP18" i="53"/>
  <c r="Q24" i="20"/>
  <c r="Q11" i="20"/>
  <c r="Q25" i="20"/>
  <c r="T11" i="20"/>
  <c r="S17" i="20"/>
  <c r="U20" i="20"/>
  <c r="T25" i="20"/>
  <c r="S12" i="20"/>
  <c r="S26" i="20"/>
  <c r="R12" i="20"/>
  <c r="AB11" i="20"/>
  <c r="Q19" i="20"/>
  <c r="Q10" i="20"/>
  <c r="AB12" i="20"/>
  <c r="AB3" i="20"/>
  <c r="S24" i="20"/>
  <c r="AB10" i="20"/>
  <c r="S20" i="20"/>
  <c r="R26" i="20"/>
  <c r="AB6" i="20"/>
  <c r="AB4" i="20"/>
  <c r="AB5" i="20"/>
  <c r="AB13" i="20"/>
  <c r="R25" i="20"/>
  <c r="U18" i="20"/>
  <c r="AL18" i="53"/>
  <c r="S10" i="20"/>
  <c r="U27" i="20"/>
  <c r="T18" i="20"/>
  <c r="T20" i="20"/>
  <c r="U10" i="20"/>
  <c r="R13" i="20"/>
  <c r="U3" i="20"/>
  <c r="U17" i="20"/>
  <c r="U19" i="20"/>
  <c r="U24" i="20"/>
  <c r="U13" i="20"/>
  <c r="U11" i="20"/>
  <c r="S3" i="20"/>
  <c r="S6" i="20"/>
  <c r="Q5" i="20"/>
  <c r="R5" i="20"/>
  <c r="T4" i="20"/>
  <c r="R6" i="20"/>
  <c r="U6" i="20"/>
  <c r="U4" i="20"/>
  <c r="R11" i="20"/>
  <c r="U25" i="20"/>
  <c r="Q4" i="20"/>
  <c r="T24" i="20"/>
  <c r="U26" i="20"/>
  <c r="T10" i="20"/>
  <c r="U12" i="20"/>
  <c r="T6" i="20"/>
  <c r="Q18" i="20"/>
  <c r="R19" i="20"/>
  <c r="Q3" i="20"/>
  <c r="R4" i="20"/>
  <c r="S5" i="20"/>
  <c r="Q17" i="20"/>
  <c r="R18" i="20"/>
  <c r="S19" i="20"/>
  <c r="T3" i="20"/>
  <c r="Q12" i="20"/>
  <c r="S13" i="20"/>
  <c r="T17" i="20"/>
  <c r="Q26" i="20"/>
  <c r="S27" i="20"/>
  <c r="U5" i="20"/>
  <c r="T13" i="20"/>
  <c r="T27" i="20"/>
  <c r="AO25" i="53"/>
  <c r="R25" i="53"/>
  <c r="I11" i="53"/>
  <c r="R16" i="52" s="1"/>
  <c r="I10" i="53"/>
  <c r="R15" i="52" s="1"/>
  <c r="H11" i="53"/>
  <c r="Q16" i="52" s="1"/>
  <c r="H10" i="53"/>
  <c r="Q15" i="52" s="1"/>
  <c r="F11" i="53"/>
  <c r="O16" i="52" s="1"/>
  <c r="F10" i="53"/>
  <c r="O15" i="52" s="1"/>
  <c r="E11" i="53"/>
  <c r="N16" i="52" s="1"/>
  <c r="E10" i="53"/>
  <c r="N15" i="52" s="1"/>
  <c r="I3" i="53"/>
  <c r="R8" i="52" s="1"/>
  <c r="I6" i="53"/>
  <c r="R11" i="52" s="1"/>
  <c r="I5" i="53"/>
  <c r="R10" i="52" s="1"/>
  <c r="H6" i="53"/>
  <c r="Q11" i="52" s="1"/>
  <c r="H5" i="53"/>
  <c r="Q10" i="52"/>
  <c r="F6" i="53"/>
  <c r="O11" i="52" s="1"/>
  <c r="F5" i="53"/>
  <c r="O10" i="52" s="1"/>
  <c r="E6" i="53"/>
  <c r="N11" i="52"/>
  <c r="E5" i="53"/>
  <c r="N10" i="52" s="1"/>
  <c r="AD27" i="53"/>
  <c r="Y32" i="52" s="1"/>
  <c r="AC27" i="53"/>
  <c r="X32" i="52" s="1"/>
  <c r="AA27" i="53"/>
  <c r="V32" i="52" s="1"/>
  <c r="Z27" i="53"/>
  <c r="U32" i="52" s="1"/>
  <c r="I27" i="53"/>
  <c r="R32" i="52" s="1"/>
  <c r="H27" i="53"/>
  <c r="Q32" i="52" s="1"/>
  <c r="F27" i="53"/>
  <c r="O32" i="52" s="1"/>
  <c r="E27" i="53"/>
  <c r="N32" i="52" s="1"/>
  <c r="AD26" i="53"/>
  <c r="Y31" i="52" s="1"/>
  <c r="AC26" i="53"/>
  <c r="X31" i="52" s="1"/>
  <c r="AA26" i="53"/>
  <c r="V31" i="52"/>
  <c r="Z26" i="53"/>
  <c r="U31" i="52"/>
  <c r="I26" i="53"/>
  <c r="R31" i="52" s="1"/>
  <c r="H26" i="53"/>
  <c r="Q31" i="52" s="1"/>
  <c r="F26" i="53"/>
  <c r="O31" i="52" s="1"/>
  <c r="E26" i="53"/>
  <c r="N31" i="52" s="1"/>
  <c r="AD25" i="53"/>
  <c r="Y30" i="52" s="1"/>
  <c r="AC25" i="53"/>
  <c r="X30" i="52"/>
  <c r="AA25" i="53"/>
  <c r="V30" i="52" s="1"/>
  <c r="Z25" i="53"/>
  <c r="I25" i="53"/>
  <c r="R30" i="52" s="1"/>
  <c r="H25" i="53"/>
  <c r="Q30" i="52"/>
  <c r="F25" i="53"/>
  <c r="E25" i="53"/>
  <c r="N30" i="52" s="1"/>
  <c r="AD24" i="53"/>
  <c r="Y29" i="52" s="1"/>
  <c r="AC24" i="53"/>
  <c r="X29" i="52"/>
  <c r="AA24" i="53"/>
  <c r="V29" i="52" s="1"/>
  <c r="Z24" i="53"/>
  <c r="AB24" i="53" s="1"/>
  <c r="W29" i="52" s="1"/>
  <c r="I24" i="53"/>
  <c r="R29" i="52" s="1"/>
  <c r="H24" i="53"/>
  <c r="Q29" i="52"/>
  <c r="F24" i="53"/>
  <c r="O29" i="52"/>
  <c r="E24" i="53"/>
  <c r="N29" i="52" s="1"/>
  <c r="AD20" i="53"/>
  <c r="Y25" i="52" s="1"/>
  <c r="AC20" i="53"/>
  <c r="X25" i="52" s="1"/>
  <c r="AA20" i="53"/>
  <c r="Z20" i="53"/>
  <c r="U25" i="52" s="1"/>
  <c r="I20" i="53"/>
  <c r="R25" i="52" s="1"/>
  <c r="H20" i="53"/>
  <c r="Q25" i="52" s="1"/>
  <c r="F20" i="53"/>
  <c r="O25" i="52" s="1"/>
  <c r="E20" i="53"/>
  <c r="AD19" i="53"/>
  <c r="Y24" i="52" s="1"/>
  <c r="AC19" i="53"/>
  <c r="X24" i="52" s="1"/>
  <c r="AA19" i="53"/>
  <c r="V24" i="52" s="1"/>
  <c r="Z19" i="53"/>
  <c r="U24" i="52" s="1"/>
  <c r="I19" i="53"/>
  <c r="R24" i="52" s="1"/>
  <c r="H19" i="53"/>
  <c r="Q24" i="52" s="1"/>
  <c r="F19" i="53"/>
  <c r="O24" i="52" s="1"/>
  <c r="E19" i="53"/>
  <c r="N24" i="52" s="1"/>
  <c r="AD18" i="53"/>
  <c r="Y23" i="52" s="1"/>
  <c r="AC18" i="53"/>
  <c r="X23" i="52" s="1"/>
  <c r="AA18" i="53"/>
  <c r="V23" i="52" s="1"/>
  <c r="Z18" i="53"/>
  <c r="U23" i="52"/>
  <c r="I18" i="53"/>
  <c r="R23" i="52" s="1"/>
  <c r="H18" i="53"/>
  <c r="Q23" i="52" s="1"/>
  <c r="F18" i="53"/>
  <c r="O23" i="52" s="1"/>
  <c r="E18" i="53"/>
  <c r="N23" i="52" s="1"/>
  <c r="AD17" i="53"/>
  <c r="Y22" i="52" s="1"/>
  <c r="AC17" i="53"/>
  <c r="X22" i="52" s="1"/>
  <c r="AA17" i="53"/>
  <c r="V22" i="52"/>
  <c r="Z17" i="53"/>
  <c r="U22" i="52" s="1"/>
  <c r="I17" i="53"/>
  <c r="R22" i="52" s="1"/>
  <c r="H17" i="53"/>
  <c r="Q22" i="52" s="1"/>
  <c r="F17" i="53"/>
  <c r="O22" i="52" s="1"/>
  <c r="E17" i="53"/>
  <c r="N22" i="52" s="1"/>
  <c r="AD13" i="53"/>
  <c r="Y18" i="52" s="1"/>
  <c r="AC13" i="53"/>
  <c r="X18" i="52" s="1"/>
  <c r="AA13" i="53"/>
  <c r="V18" i="52" s="1"/>
  <c r="Z13" i="53"/>
  <c r="U18" i="52" s="1"/>
  <c r="I13" i="53"/>
  <c r="R18" i="52" s="1"/>
  <c r="H13" i="53"/>
  <c r="Q18" i="52" s="1"/>
  <c r="F13" i="53"/>
  <c r="O18" i="52" s="1"/>
  <c r="E13" i="53"/>
  <c r="N18" i="52" s="1"/>
  <c r="AD12" i="53"/>
  <c r="Y17" i="52" s="1"/>
  <c r="AC12" i="53"/>
  <c r="X17" i="52"/>
  <c r="AA12" i="53"/>
  <c r="V17" i="52" s="1"/>
  <c r="Z12" i="53"/>
  <c r="I12" i="53"/>
  <c r="R17" i="52"/>
  <c r="H12" i="53"/>
  <c r="Q17" i="52" s="1"/>
  <c r="F12" i="53"/>
  <c r="O17" i="52" s="1"/>
  <c r="E12" i="53"/>
  <c r="N17" i="52" s="1"/>
  <c r="AD11" i="53"/>
  <c r="Y16" i="52" s="1"/>
  <c r="AC11" i="53"/>
  <c r="X16" i="52" s="1"/>
  <c r="AA11" i="53"/>
  <c r="V16" i="52" s="1"/>
  <c r="Z11" i="53"/>
  <c r="U16" i="52" s="1"/>
  <c r="AD10" i="53"/>
  <c r="Y15" i="52" s="1"/>
  <c r="AC10" i="53"/>
  <c r="X15" i="52" s="1"/>
  <c r="AA10" i="53"/>
  <c r="V15" i="52" s="1"/>
  <c r="Z10" i="53"/>
  <c r="U15" i="52" s="1"/>
  <c r="AD6" i="53"/>
  <c r="Y11" i="52" s="1"/>
  <c r="AC6" i="53"/>
  <c r="X11" i="52" s="1"/>
  <c r="AA6" i="53"/>
  <c r="V11" i="52" s="1"/>
  <c r="Z6" i="53"/>
  <c r="U11" i="52" s="1"/>
  <c r="AD5" i="53"/>
  <c r="Y10" i="52" s="1"/>
  <c r="AC5" i="53"/>
  <c r="X10" i="52" s="1"/>
  <c r="AA5" i="53"/>
  <c r="V10" i="52" s="1"/>
  <c r="Z5" i="53"/>
  <c r="U10" i="52" s="1"/>
  <c r="AD4" i="53"/>
  <c r="Y9" i="52" s="1"/>
  <c r="AC4" i="53"/>
  <c r="X9" i="52" s="1"/>
  <c r="AA4" i="53"/>
  <c r="Z4" i="53"/>
  <c r="U9" i="52" s="1"/>
  <c r="I4" i="53"/>
  <c r="R9" i="52" s="1"/>
  <c r="H4" i="53"/>
  <c r="Q9" i="52" s="1"/>
  <c r="F4" i="53"/>
  <c r="E4" i="53"/>
  <c r="N9" i="52" s="1"/>
  <c r="AD3" i="53"/>
  <c r="Y8" i="52" s="1"/>
  <c r="AC3" i="53"/>
  <c r="X8" i="52" s="1"/>
  <c r="AA3" i="53"/>
  <c r="V8" i="52" s="1"/>
  <c r="Z3" i="53"/>
  <c r="U8" i="52"/>
  <c r="H3" i="53"/>
  <c r="Q8" i="52" s="1"/>
  <c r="F3" i="53"/>
  <c r="O8" i="52" s="1"/>
  <c r="E3" i="53"/>
  <c r="N8" i="52" s="1"/>
  <c r="T32" i="52"/>
  <c r="M32" i="52"/>
  <c r="T31" i="52"/>
  <c r="M31" i="52"/>
  <c r="T30" i="52"/>
  <c r="M30" i="52"/>
  <c r="T29" i="52"/>
  <c r="M29" i="52"/>
  <c r="T25" i="52"/>
  <c r="M25" i="52"/>
  <c r="T24" i="52"/>
  <c r="M24" i="52"/>
  <c r="T23" i="52"/>
  <c r="M23" i="52"/>
  <c r="T22" i="52"/>
  <c r="M22" i="52"/>
  <c r="T18" i="52"/>
  <c r="M18" i="52"/>
  <c r="T17" i="52"/>
  <c r="M17" i="52"/>
  <c r="T16" i="52"/>
  <c r="M16" i="52"/>
  <c r="T15" i="52"/>
  <c r="M15" i="52"/>
  <c r="T11" i="52"/>
  <c r="M11" i="52"/>
  <c r="T10" i="52"/>
  <c r="M10" i="52"/>
  <c r="T9" i="52"/>
  <c r="M9" i="52"/>
  <c r="T8" i="52"/>
  <c r="M8" i="52"/>
  <c r="I61" i="52"/>
  <c r="I60" i="52"/>
  <c r="I59" i="52"/>
  <c r="I58" i="52"/>
  <c r="I57" i="52"/>
  <c r="I56" i="52"/>
  <c r="I55" i="52"/>
  <c r="I54" i="52"/>
  <c r="E61" i="52"/>
  <c r="E60" i="52"/>
  <c r="E59" i="52"/>
  <c r="E58" i="52"/>
  <c r="E57" i="52"/>
  <c r="E56" i="52"/>
  <c r="E55" i="52"/>
  <c r="E54" i="52"/>
  <c r="I65" i="52"/>
  <c r="I69" i="52"/>
  <c r="E65" i="52"/>
  <c r="I63" i="52"/>
  <c r="I68" i="52"/>
  <c r="E63" i="52"/>
  <c r="E66" i="52"/>
  <c r="I66" i="52"/>
  <c r="E69" i="52"/>
  <c r="I64" i="52"/>
  <c r="E68" i="52"/>
  <c r="E64" i="52"/>
  <c r="I52" i="52"/>
  <c r="E52" i="52"/>
  <c r="D52" i="52"/>
  <c r="I51" i="52"/>
  <c r="E51" i="52"/>
  <c r="D51" i="52"/>
  <c r="I50" i="52"/>
  <c r="E50" i="52"/>
  <c r="D50" i="52"/>
  <c r="I49" i="52"/>
  <c r="E49" i="52"/>
  <c r="D49" i="52"/>
  <c r="I48" i="52"/>
  <c r="E48" i="52"/>
  <c r="D48" i="52"/>
  <c r="I47" i="52"/>
  <c r="E47" i="52"/>
  <c r="D47" i="52"/>
  <c r="I46" i="52"/>
  <c r="E46" i="52"/>
  <c r="D46" i="52"/>
  <c r="I45" i="52"/>
  <c r="E45" i="52"/>
  <c r="D45" i="52"/>
  <c r="I44" i="52"/>
  <c r="E44" i="52"/>
  <c r="D44" i="52"/>
  <c r="I43" i="52"/>
  <c r="E43" i="52"/>
  <c r="D43" i="52"/>
  <c r="I42" i="52"/>
  <c r="E42" i="52"/>
  <c r="D42" i="52"/>
  <c r="I41" i="52"/>
  <c r="E41" i="52"/>
  <c r="D41" i="52"/>
  <c r="I40" i="52"/>
  <c r="E40" i="52"/>
  <c r="D40" i="52"/>
  <c r="I39" i="52"/>
  <c r="E39" i="52"/>
  <c r="D39" i="52"/>
  <c r="I38" i="52"/>
  <c r="E38" i="52"/>
  <c r="D38" i="52"/>
  <c r="I37" i="52"/>
  <c r="E37" i="52"/>
  <c r="D37" i="52"/>
  <c r="I36" i="52"/>
  <c r="E36" i="52"/>
  <c r="D36" i="52"/>
  <c r="I35" i="52"/>
  <c r="E35" i="52"/>
  <c r="D35" i="52"/>
  <c r="I34" i="52"/>
  <c r="E34" i="52"/>
  <c r="D34" i="52"/>
  <c r="I33" i="52"/>
  <c r="E33" i="52"/>
  <c r="D33" i="52"/>
  <c r="I32" i="52"/>
  <c r="E32" i="52"/>
  <c r="D32" i="52"/>
  <c r="I31" i="52"/>
  <c r="E31" i="52"/>
  <c r="D31" i="52"/>
  <c r="I30" i="52"/>
  <c r="E30" i="52"/>
  <c r="D30" i="52"/>
  <c r="I29" i="52"/>
  <c r="E29" i="52"/>
  <c r="D29" i="52"/>
  <c r="I28" i="52"/>
  <c r="E28" i="52"/>
  <c r="D28" i="52"/>
  <c r="I27" i="52"/>
  <c r="E27" i="52"/>
  <c r="D27" i="52"/>
  <c r="I26" i="52"/>
  <c r="E26" i="52"/>
  <c r="D26" i="52"/>
  <c r="I25" i="52"/>
  <c r="E25" i="52"/>
  <c r="D25" i="52"/>
  <c r="I24" i="52"/>
  <c r="E24" i="52"/>
  <c r="D24" i="52"/>
  <c r="I23" i="52"/>
  <c r="E23" i="52"/>
  <c r="D23" i="52"/>
  <c r="I22" i="52"/>
  <c r="E22" i="52"/>
  <c r="D22" i="52"/>
  <c r="I21" i="52"/>
  <c r="E21" i="52"/>
  <c r="D21" i="52"/>
  <c r="I20" i="52"/>
  <c r="E20" i="52"/>
  <c r="D20" i="52"/>
  <c r="I19" i="52"/>
  <c r="E19" i="52"/>
  <c r="D19" i="52"/>
  <c r="I18" i="52"/>
  <c r="E18" i="52"/>
  <c r="D18" i="52"/>
  <c r="I17" i="52"/>
  <c r="E17" i="52"/>
  <c r="D17" i="52"/>
  <c r="I16" i="52"/>
  <c r="E16" i="52"/>
  <c r="D16" i="52"/>
  <c r="I15" i="52"/>
  <c r="E15" i="52"/>
  <c r="D15" i="52"/>
  <c r="I14" i="52"/>
  <c r="E14" i="52"/>
  <c r="D14" i="52"/>
  <c r="I13" i="52"/>
  <c r="E13" i="52"/>
  <c r="D13" i="52"/>
  <c r="I12" i="52"/>
  <c r="E12" i="52"/>
  <c r="D12" i="52"/>
  <c r="I11" i="52"/>
  <c r="E11" i="52"/>
  <c r="D11" i="52"/>
  <c r="I10" i="52"/>
  <c r="E10" i="52"/>
  <c r="D10" i="52"/>
  <c r="I9" i="52"/>
  <c r="E9" i="52"/>
  <c r="D9" i="52"/>
  <c r="I8" i="52"/>
  <c r="E8" i="52"/>
  <c r="D8" i="52"/>
  <c r="I7" i="52"/>
  <c r="E7" i="52"/>
  <c r="D7" i="52"/>
  <c r="I6" i="52"/>
  <c r="E6" i="52"/>
  <c r="D6" i="52"/>
  <c r="I4" i="20"/>
  <c r="H4" i="20"/>
  <c r="F4" i="20"/>
  <c r="E4" i="20"/>
  <c r="H3" i="20"/>
  <c r="F3" i="20"/>
  <c r="E3" i="20"/>
  <c r="B4" i="8"/>
  <c r="I73" i="52"/>
  <c r="I71" i="52"/>
  <c r="E73" i="52"/>
  <c r="E71" i="52"/>
  <c r="I26" i="20"/>
  <c r="R31" i="17"/>
  <c r="I27" i="20"/>
  <c r="R32" i="17"/>
  <c r="C10" i="8"/>
  <c r="C14" i="8"/>
  <c r="C18" i="8"/>
  <c r="C22" i="8"/>
  <c r="C26" i="8"/>
  <c r="C30" i="8"/>
  <c r="C34" i="8"/>
  <c r="C38" i="8"/>
  <c r="C42" i="8"/>
  <c r="C46" i="8"/>
  <c r="C50"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C13" i="8"/>
  <c r="C17" i="8"/>
  <c r="C21" i="8"/>
  <c r="C25" i="8"/>
  <c r="C29" i="8"/>
  <c r="C33" i="8"/>
  <c r="C37" i="8"/>
  <c r="C41" i="8"/>
  <c r="C45" i="8"/>
  <c r="C49" i="8"/>
  <c r="C8" i="8"/>
  <c r="C12" i="8"/>
  <c r="C16" i="8"/>
  <c r="C20" i="8"/>
  <c r="C24" i="8"/>
  <c r="C28" i="8"/>
  <c r="C32" i="8"/>
  <c r="C36" i="8"/>
  <c r="C40" i="8"/>
  <c r="C44" i="8"/>
  <c r="C48" i="8"/>
  <c r="C7" i="8"/>
  <c r="C11" i="8"/>
  <c r="C15" i="8"/>
  <c r="C19" i="8"/>
  <c r="C23" i="8"/>
  <c r="C27" i="8"/>
  <c r="C31" i="8"/>
  <c r="C35" i="8"/>
  <c r="C39" i="8"/>
  <c r="C43" i="8"/>
  <c r="C47" i="8"/>
  <c r="AD27" i="20"/>
  <c r="Y32" i="17"/>
  <c r="AC27" i="20"/>
  <c r="X32" i="17"/>
  <c r="AA27" i="20"/>
  <c r="V32" i="17"/>
  <c r="Z27" i="20"/>
  <c r="H27" i="20"/>
  <c r="Q32" i="17"/>
  <c r="F27" i="20"/>
  <c r="O32" i="17"/>
  <c r="E27" i="20"/>
  <c r="N32" i="17"/>
  <c r="AD26" i="20"/>
  <c r="Y31" i="17"/>
  <c r="AC26" i="20"/>
  <c r="X31" i="17"/>
  <c r="AA26" i="20"/>
  <c r="V31" i="17"/>
  <c r="Z26" i="20"/>
  <c r="U31" i="17"/>
  <c r="H26" i="20"/>
  <c r="Q31" i="17"/>
  <c r="F26" i="20"/>
  <c r="O31" i="17"/>
  <c r="E26" i="20"/>
  <c r="N31" i="17"/>
  <c r="AD25" i="20"/>
  <c r="Y30" i="17"/>
  <c r="AC25" i="20"/>
  <c r="X30" i="17"/>
  <c r="AA25" i="20"/>
  <c r="V30" i="17"/>
  <c r="Z25" i="20"/>
  <c r="U30" i="17"/>
  <c r="I25" i="20"/>
  <c r="R30" i="17"/>
  <c r="H25" i="20"/>
  <c r="Q30" i="17"/>
  <c r="F25" i="20"/>
  <c r="O30" i="17"/>
  <c r="E25" i="20"/>
  <c r="N30" i="17"/>
  <c r="AD24" i="20"/>
  <c r="Y29" i="17"/>
  <c r="AC24" i="20"/>
  <c r="X29" i="17"/>
  <c r="AA24" i="20"/>
  <c r="V29" i="17"/>
  <c r="Z24" i="20"/>
  <c r="U29" i="17"/>
  <c r="I24" i="20"/>
  <c r="R29" i="17"/>
  <c r="H24" i="20"/>
  <c r="Q29" i="17"/>
  <c r="F24" i="20"/>
  <c r="O29" i="17"/>
  <c r="E24" i="20"/>
  <c r="AD20" i="20"/>
  <c r="Y25" i="17"/>
  <c r="AC20" i="20"/>
  <c r="X25" i="17"/>
  <c r="AA20" i="20"/>
  <c r="V25" i="17"/>
  <c r="Z20" i="20"/>
  <c r="I20" i="20"/>
  <c r="R25" i="17"/>
  <c r="H20" i="20"/>
  <c r="Q25" i="17"/>
  <c r="F20" i="20"/>
  <c r="O25" i="17"/>
  <c r="E20" i="20"/>
  <c r="N25" i="17"/>
  <c r="AD19" i="20"/>
  <c r="Y24" i="17"/>
  <c r="AC19" i="20"/>
  <c r="X24" i="17"/>
  <c r="AA19" i="20"/>
  <c r="V24" i="17"/>
  <c r="Z19" i="20"/>
  <c r="I19" i="20"/>
  <c r="R24" i="17"/>
  <c r="H19" i="20"/>
  <c r="Q24" i="17"/>
  <c r="F19" i="20"/>
  <c r="O24" i="17"/>
  <c r="E19" i="20"/>
  <c r="N24" i="17"/>
  <c r="AD18" i="20"/>
  <c r="Y23" i="17"/>
  <c r="AC18" i="20"/>
  <c r="X23" i="17"/>
  <c r="AA18" i="20"/>
  <c r="V23" i="17"/>
  <c r="Z18" i="20"/>
  <c r="I18" i="20"/>
  <c r="R23" i="17"/>
  <c r="H18" i="20"/>
  <c r="Q23" i="17"/>
  <c r="F18" i="20"/>
  <c r="O23" i="17"/>
  <c r="E18" i="20"/>
  <c r="N23" i="17"/>
  <c r="AD17" i="20"/>
  <c r="Y22" i="17"/>
  <c r="AC17" i="20"/>
  <c r="X22" i="17"/>
  <c r="AA17" i="20"/>
  <c r="Z17" i="20"/>
  <c r="U22" i="17"/>
  <c r="I17" i="20"/>
  <c r="R22" i="17"/>
  <c r="H17" i="20"/>
  <c r="Q22" i="17"/>
  <c r="F17" i="20"/>
  <c r="O22" i="17"/>
  <c r="E17" i="20"/>
  <c r="N22" i="17"/>
  <c r="Y18" i="17"/>
  <c r="X18" i="17"/>
  <c r="V18" i="17"/>
  <c r="U18" i="17"/>
  <c r="I13" i="20"/>
  <c r="R18" i="17"/>
  <c r="H13" i="20"/>
  <c r="Q18" i="17"/>
  <c r="F13" i="20"/>
  <c r="E13" i="20"/>
  <c r="N18" i="17"/>
  <c r="Y17" i="17"/>
  <c r="X17" i="17"/>
  <c r="V17" i="17"/>
  <c r="U17" i="17"/>
  <c r="I12" i="20"/>
  <c r="R17" i="17"/>
  <c r="H12" i="20"/>
  <c r="Q17" i="17"/>
  <c r="F12" i="20"/>
  <c r="O17" i="17"/>
  <c r="E12" i="20"/>
  <c r="N17" i="17"/>
  <c r="Y16" i="17"/>
  <c r="X16" i="17"/>
  <c r="V16" i="17"/>
  <c r="U16" i="17"/>
  <c r="R16" i="17"/>
  <c r="Q16" i="17"/>
  <c r="O16" i="17"/>
  <c r="Y15" i="17"/>
  <c r="X15" i="17"/>
  <c r="V15" i="17"/>
  <c r="U15" i="17"/>
  <c r="R15" i="17"/>
  <c r="Q15" i="17"/>
  <c r="O15" i="17"/>
  <c r="Y11" i="17"/>
  <c r="X11" i="17"/>
  <c r="V11" i="17"/>
  <c r="W11" i="17"/>
  <c r="R11" i="17"/>
  <c r="Q11" i="17"/>
  <c r="O11" i="17"/>
  <c r="N11" i="17"/>
  <c r="Y10" i="17"/>
  <c r="X10" i="17"/>
  <c r="V10" i="17"/>
  <c r="U10" i="17"/>
  <c r="R10" i="17"/>
  <c r="Q10" i="17"/>
  <c r="O10" i="17"/>
  <c r="Y9" i="17"/>
  <c r="X9" i="17"/>
  <c r="V9" i="17"/>
  <c r="U9" i="17"/>
  <c r="R9" i="17"/>
  <c r="Q9" i="17"/>
  <c r="O9" i="17"/>
  <c r="N9" i="17"/>
  <c r="Y8" i="17"/>
  <c r="X8" i="17"/>
  <c r="V8" i="17"/>
  <c r="U8" i="17"/>
  <c r="R8" i="17"/>
  <c r="Q8" i="17"/>
  <c r="O8" i="17"/>
  <c r="I52" i="17"/>
  <c r="E52" i="17"/>
  <c r="D52" i="17"/>
  <c r="I51" i="17"/>
  <c r="E51" i="17"/>
  <c r="D51" i="17"/>
  <c r="I50" i="17"/>
  <c r="E50" i="17"/>
  <c r="D50" i="17"/>
  <c r="I49" i="17"/>
  <c r="E49" i="17"/>
  <c r="D49" i="17"/>
  <c r="I48" i="17"/>
  <c r="E48" i="17"/>
  <c r="D48" i="17"/>
  <c r="I47" i="17"/>
  <c r="E47" i="17"/>
  <c r="D47" i="17"/>
  <c r="I46" i="17"/>
  <c r="E46" i="17"/>
  <c r="D46" i="17"/>
  <c r="I45" i="17"/>
  <c r="E45" i="17"/>
  <c r="D45" i="17"/>
  <c r="I44" i="17"/>
  <c r="E44" i="17"/>
  <c r="D44" i="17"/>
  <c r="I43" i="17"/>
  <c r="E43" i="17"/>
  <c r="D43" i="17"/>
  <c r="I42" i="17"/>
  <c r="E42" i="17"/>
  <c r="D42" i="17"/>
  <c r="I41" i="17"/>
  <c r="E41" i="17"/>
  <c r="D41" i="17"/>
  <c r="I40" i="17"/>
  <c r="E40" i="17"/>
  <c r="D40" i="17"/>
  <c r="I39" i="17"/>
  <c r="E39" i="17"/>
  <c r="D39" i="17"/>
  <c r="I38" i="17"/>
  <c r="E38" i="17"/>
  <c r="D38" i="17"/>
  <c r="I37" i="17"/>
  <c r="E37" i="17"/>
  <c r="D37" i="17"/>
  <c r="I36" i="17"/>
  <c r="E36" i="17"/>
  <c r="D36" i="17"/>
  <c r="I35" i="17"/>
  <c r="E35" i="17"/>
  <c r="D35" i="17"/>
  <c r="I34" i="17"/>
  <c r="E34" i="17"/>
  <c r="D34" i="17"/>
  <c r="I33" i="17"/>
  <c r="E33" i="17"/>
  <c r="D33" i="17"/>
  <c r="I32" i="17"/>
  <c r="E32" i="17"/>
  <c r="D32" i="17"/>
  <c r="T32" i="17"/>
  <c r="M32" i="17"/>
  <c r="I31" i="17"/>
  <c r="E31" i="17"/>
  <c r="D31" i="17"/>
  <c r="T31" i="17"/>
  <c r="M31" i="17"/>
  <c r="I30" i="17"/>
  <c r="E30" i="17"/>
  <c r="D30" i="17"/>
  <c r="T30" i="17"/>
  <c r="I59" i="17"/>
  <c r="I63" i="17"/>
  <c r="I68" i="17"/>
  <c r="M30" i="17"/>
  <c r="I55" i="17"/>
  <c r="I64" i="17"/>
  <c r="E68" i="17"/>
  <c r="I29" i="17"/>
  <c r="E29" i="17"/>
  <c r="D29" i="17"/>
  <c r="T29" i="17"/>
  <c r="E61" i="17"/>
  <c r="M29" i="17"/>
  <c r="E56" i="17"/>
  <c r="I28" i="17"/>
  <c r="E28" i="17"/>
  <c r="D28" i="17"/>
  <c r="I27" i="17"/>
  <c r="E27" i="17"/>
  <c r="D27" i="17"/>
  <c r="I26" i="17"/>
  <c r="E26" i="17"/>
  <c r="D26" i="17"/>
  <c r="I25" i="17"/>
  <c r="E25" i="17"/>
  <c r="D25" i="17"/>
  <c r="T25" i="17"/>
  <c r="M25" i="17"/>
  <c r="I24" i="17"/>
  <c r="E24" i="17"/>
  <c r="D24" i="17"/>
  <c r="T24" i="17"/>
  <c r="M24" i="17"/>
  <c r="I23" i="17"/>
  <c r="E23" i="17"/>
  <c r="D23" i="17"/>
  <c r="T23" i="17"/>
  <c r="I61" i="17"/>
  <c r="I65" i="17"/>
  <c r="I69" i="17"/>
  <c r="I73" i="17"/>
  <c r="M23" i="17"/>
  <c r="I56" i="17"/>
  <c r="I66" i="17"/>
  <c r="E69" i="17"/>
  <c r="I22" i="17"/>
  <c r="E22" i="17"/>
  <c r="D22" i="17"/>
  <c r="V22" i="17"/>
  <c r="T22" i="17"/>
  <c r="E59" i="17"/>
  <c r="M22" i="17"/>
  <c r="E55" i="17"/>
  <c r="I21" i="17"/>
  <c r="E21" i="17"/>
  <c r="D21" i="17"/>
  <c r="I20" i="17"/>
  <c r="E20" i="17"/>
  <c r="D20" i="17"/>
  <c r="I19" i="17"/>
  <c r="E19" i="17"/>
  <c r="D19" i="17"/>
  <c r="I18" i="17"/>
  <c r="E18" i="17"/>
  <c r="D18" i="17"/>
  <c r="T18" i="17"/>
  <c r="M18" i="17"/>
  <c r="I17" i="17"/>
  <c r="E17" i="17"/>
  <c r="D17" i="17"/>
  <c r="T17" i="17"/>
  <c r="M17" i="17"/>
  <c r="I16" i="17"/>
  <c r="E16" i="17"/>
  <c r="D16" i="17"/>
  <c r="T16" i="17"/>
  <c r="I58" i="17"/>
  <c r="E63" i="17"/>
  <c r="M16" i="17"/>
  <c r="I54" i="17"/>
  <c r="E64" i="17"/>
  <c r="I15" i="17"/>
  <c r="E15" i="17"/>
  <c r="D15" i="17"/>
  <c r="T15" i="17"/>
  <c r="E60" i="17"/>
  <c r="M15" i="17"/>
  <c r="E57" i="17"/>
  <c r="I14" i="17"/>
  <c r="E14" i="17"/>
  <c r="D14" i="17"/>
  <c r="I13" i="17"/>
  <c r="E13" i="17"/>
  <c r="D13" i="17"/>
  <c r="I12" i="17"/>
  <c r="E12" i="17"/>
  <c r="D12" i="17"/>
  <c r="I11" i="17"/>
  <c r="E11" i="17"/>
  <c r="D11" i="17"/>
  <c r="T11" i="17"/>
  <c r="M11" i="17"/>
  <c r="I10" i="17"/>
  <c r="E10" i="17"/>
  <c r="D10" i="17"/>
  <c r="T10" i="17"/>
  <c r="M10" i="17"/>
  <c r="I9" i="17"/>
  <c r="E9" i="17"/>
  <c r="D9" i="17"/>
  <c r="T9" i="17"/>
  <c r="I60" i="17"/>
  <c r="E65" i="17"/>
  <c r="M9" i="17"/>
  <c r="I57" i="17"/>
  <c r="E66" i="17"/>
  <c r="I8" i="17"/>
  <c r="E8" i="17"/>
  <c r="D8" i="17"/>
  <c r="T8" i="17"/>
  <c r="E58" i="17"/>
  <c r="M8" i="17"/>
  <c r="E54" i="17"/>
  <c r="I7" i="17"/>
  <c r="E7" i="17"/>
  <c r="D7" i="17"/>
  <c r="I6" i="17"/>
  <c r="E6" i="17"/>
  <c r="D6" i="17"/>
  <c r="A1" i="14"/>
  <c r="C8" i="14" s="1"/>
  <c r="N16" i="17"/>
  <c r="N8" i="17"/>
  <c r="N15" i="17"/>
  <c r="AB18" i="20"/>
  <c r="W23" i="17"/>
  <c r="AB19" i="20"/>
  <c r="W24" i="17"/>
  <c r="AB20" i="20"/>
  <c r="W25" i="17"/>
  <c r="G26" i="20"/>
  <c r="P31" i="17"/>
  <c r="G4" i="20"/>
  <c r="P9" i="17"/>
  <c r="G13" i="20"/>
  <c r="P18" i="17"/>
  <c r="G20" i="20"/>
  <c r="P25" i="17"/>
  <c r="G25" i="20"/>
  <c r="P30" i="17"/>
  <c r="G18" i="20"/>
  <c r="P23" i="17"/>
  <c r="O18" i="17"/>
  <c r="G10" i="20"/>
  <c r="P15" i="17"/>
  <c r="G3" i="20"/>
  <c r="P8" i="17"/>
  <c r="G5" i="20"/>
  <c r="P10" i="17"/>
  <c r="G11" i="20"/>
  <c r="P16" i="17"/>
  <c r="G19" i="20"/>
  <c r="P24" i="17"/>
  <c r="G24" i="20"/>
  <c r="P29" i="17"/>
  <c r="G27" i="20"/>
  <c r="P32" i="17"/>
  <c r="W10" i="17"/>
  <c r="U25" i="17"/>
  <c r="W9" i="17"/>
  <c r="U24" i="17"/>
  <c r="W8" i="17"/>
  <c r="U23" i="17"/>
  <c r="G12" i="20"/>
  <c r="P17" i="17"/>
  <c r="AB17" i="20"/>
  <c r="W22" i="17"/>
  <c r="G6" i="20"/>
  <c r="P11" i="17"/>
  <c r="W15" i="17"/>
  <c r="W16" i="17"/>
  <c r="N10" i="17"/>
  <c r="G17" i="20"/>
  <c r="P22" i="17"/>
  <c r="AB27" i="20"/>
  <c r="W32" i="17"/>
  <c r="E71" i="17"/>
  <c r="E73" i="17"/>
  <c r="U32" i="17"/>
  <c r="W18" i="17"/>
  <c r="N29" i="17"/>
  <c r="AB25" i="20"/>
  <c r="W30" i="17"/>
  <c r="AB26" i="20"/>
  <c r="W31" i="17"/>
  <c r="U11" i="17"/>
  <c r="I71" i="17"/>
  <c r="AB24" i="20"/>
  <c r="W29" i="17"/>
  <c r="W17" i="17"/>
  <c r="T10" i="53" l="1"/>
  <c r="S6" i="53"/>
  <c r="AP10" i="53"/>
  <c r="AP6" i="53"/>
  <c r="AB12" i="53"/>
  <c r="W17" i="52" s="1"/>
  <c r="AN10" i="53"/>
  <c r="AL19" i="53"/>
  <c r="Q24" i="53"/>
  <c r="T25" i="53"/>
  <c r="AL5" i="53"/>
  <c r="AM5" i="53"/>
  <c r="S13" i="53"/>
  <c r="AO10" i="53"/>
  <c r="G20" i="53"/>
  <c r="P25" i="52" s="1"/>
  <c r="AN19" i="53"/>
  <c r="S20" i="53"/>
  <c r="AP3" i="53"/>
  <c r="AM6" i="53"/>
  <c r="AO20" i="53"/>
  <c r="AB20" i="53"/>
  <c r="W25" i="52" s="1"/>
  <c r="U20" i="53"/>
  <c r="S5" i="53"/>
  <c r="Q18" i="53"/>
  <c r="AB26" i="53"/>
  <c r="W31" i="52" s="1"/>
  <c r="S3" i="53"/>
  <c r="T17" i="53"/>
  <c r="Q19" i="53"/>
  <c r="S26" i="53"/>
  <c r="S10" i="53"/>
  <c r="AN5" i="53"/>
  <c r="T24" i="53"/>
  <c r="T20" i="53"/>
  <c r="AL3" i="53"/>
  <c r="AB25" i="53"/>
  <c r="W30" i="52" s="1"/>
  <c r="AO4" i="53"/>
  <c r="AB3" i="53"/>
  <c r="W8" i="52" s="1"/>
  <c r="U12" i="53"/>
  <c r="R13" i="53"/>
  <c r="AO6" i="53"/>
  <c r="AN27" i="53"/>
  <c r="G12" i="57"/>
  <c r="P17" i="56" s="1"/>
  <c r="G13" i="57"/>
  <c r="P18" i="56" s="1"/>
  <c r="U13" i="57"/>
  <c r="S13" i="57"/>
  <c r="N10" i="56"/>
  <c r="G6" i="57"/>
  <c r="P11" i="56" s="1"/>
  <c r="U6" i="57"/>
  <c r="S6" i="57"/>
  <c r="U10" i="57"/>
  <c r="N15" i="56"/>
  <c r="Q10" i="57"/>
  <c r="G11" i="57"/>
  <c r="P16" i="56" s="1"/>
  <c r="U4" i="57"/>
  <c r="G3" i="57"/>
  <c r="P8" i="56" s="1"/>
  <c r="N8" i="56"/>
  <c r="Q4" i="57"/>
  <c r="U3" i="57"/>
  <c r="G4" i="57"/>
  <c r="P9" i="56" s="1"/>
  <c r="V25" i="52"/>
  <c r="AO17" i="53"/>
  <c r="AO27" i="53"/>
  <c r="AP27" i="53"/>
  <c r="U29" i="52"/>
  <c r="AL25" i="53"/>
  <c r="AM26" i="53"/>
  <c r="AP25" i="53"/>
  <c r="U30" i="52"/>
  <c r="AB5" i="53"/>
  <c r="W10" i="52" s="1"/>
  <c r="U17" i="52"/>
  <c r="AL11" i="53"/>
  <c r="AM12" i="53"/>
  <c r="AM11" i="53"/>
  <c r="AL12" i="53"/>
  <c r="AP13" i="53"/>
  <c r="R18" i="53"/>
  <c r="G24" i="53"/>
  <c r="P29" i="52" s="1"/>
  <c r="R27" i="53"/>
  <c r="Q11" i="53"/>
  <c r="R11" i="53"/>
  <c r="R12" i="53"/>
  <c r="T13" i="53"/>
  <c r="U10" i="53"/>
  <c r="T6" i="53"/>
  <c r="U3" i="53"/>
  <c r="Q4" i="53"/>
  <c r="R4" i="53"/>
  <c r="R5" i="53"/>
  <c r="AB17" i="53"/>
  <c r="W22" i="52" s="1"/>
  <c r="AL17" i="53"/>
  <c r="AB19" i="53"/>
  <c r="W24" i="52" s="1"/>
  <c r="AB27" i="53"/>
  <c r="W32" i="52" s="1"/>
  <c r="AP20" i="53"/>
  <c r="AM20" i="53"/>
  <c r="AB4" i="53"/>
  <c r="W9" i="52" s="1"/>
  <c r="V9" i="52"/>
  <c r="AB11" i="53"/>
  <c r="W16" i="52" s="1"/>
  <c r="AO13" i="53"/>
  <c r="AM13" i="53"/>
  <c r="AB10" i="53"/>
  <c r="W15" i="52" s="1"/>
  <c r="U19" i="53"/>
  <c r="G17" i="53"/>
  <c r="P22" i="52" s="1"/>
  <c r="U17" i="53"/>
  <c r="G25" i="53"/>
  <c r="P30" i="52" s="1"/>
  <c r="O30" i="52"/>
  <c r="G18" i="53"/>
  <c r="P23" i="52" s="1"/>
  <c r="U18" i="53"/>
  <c r="N25" i="52"/>
  <c r="T18" i="53"/>
  <c r="R20" i="53"/>
  <c r="U26" i="53"/>
  <c r="S27" i="53"/>
  <c r="R26" i="53"/>
  <c r="R6" i="53"/>
  <c r="U6" i="53"/>
  <c r="G5" i="53"/>
  <c r="P10" i="52" s="1"/>
  <c r="Q5" i="53"/>
  <c r="U13" i="53"/>
  <c r="G19" i="53"/>
  <c r="P24" i="52" s="1"/>
  <c r="S19" i="53"/>
  <c r="AB18" i="53"/>
  <c r="W23" i="52" s="1"/>
  <c r="AP17" i="53"/>
  <c r="AP24" i="53"/>
  <c r="AL24" i="53"/>
  <c r="AN26" i="53"/>
  <c r="AP26" i="53"/>
  <c r="AO11" i="53"/>
  <c r="AP11" i="53"/>
  <c r="AB6" i="53"/>
  <c r="W11" i="52" s="1"/>
  <c r="AP4" i="53"/>
  <c r="AM4" i="53"/>
  <c r="AP12" i="53"/>
  <c r="AN13" i="53"/>
  <c r="AB13" i="53"/>
  <c r="W18" i="52" s="1"/>
  <c r="AN12" i="53"/>
  <c r="U27" i="53"/>
  <c r="G27" i="53"/>
  <c r="P32" i="52" s="1"/>
  <c r="S24" i="53"/>
  <c r="U24" i="53"/>
  <c r="T27" i="53"/>
  <c r="U25" i="53"/>
  <c r="G26" i="53"/>
  <c r="P31" i="52" s="1"/>
  <c r="Q17" i="53"/>
  <c r="G12" i="53"/>
  <c r="P17" i="52" s="1"/>
  <c r="G13" i="53"/>
  <c r="P18" i="52" s="1"/>
  <c r="S12" i="53"/>
  <c r="G6" i="53"/>
  <c r="P11" i="52" s="1"/>
  <c r="G10" i="53"/>
  <c r="P15" i="52" s="1"/>
  <c r="G11" i="53"/>
  <c r="P16" i="52" s="1"/>
  <c r="T11" i="53"/>
  <c r="U11" i="53"/>
  <c r="Q5" i="57"/>
  <c r="Q12" i="57"/>
  <c r="Q19" i="57"/>
  <c r="U20" i="57"/>
  <c r="Q26" i="57"/>
  <c r="U27" i="57"/>
  <c r="S26" i="57"/>
  <c r="AP5" i="57"/>
  <c r="AP12" i="57"/>
  <c r="AP19" i="57"/>
  <c r="AM19" i="57"/>
  <c r="AP26" i="57"/>
  <c r="AL26" i="57"/>
  <c r="AL3" i="57"/>
  <c r="AL4" i="57"/>
  <c r="AL17" i="57"/>
  <c r="AL18" i="57"/>
  <c r="AN6" i="57"/>
  <c r="AN13" i="57"/>
  <c r="AN20" i="57"/>
  <c r="AN27" i="57"/>
  <c r="AL24" i="57"/>
  <c r="AO3" i="57"/>
  <c r="AO4" i="57"/>
  <c r="AN5" i="57"/>
  <c r="AO6" i="57"/>
  <c r="AO10" i="57"/>
  <c r="AO11" i="57"/>
  <c r="AN12" i="57"/>
  <c r="AO13" i="57"/>
  <c r="AO17" i="57"/>
  <c r="AO18" i="57"/>
  <c r="AN19" i="57"/>
  <c r="AO20" i="57"/>
  <c r="AO24" i="57"/>
  <c r="AO25" i="57"/>
  <c r="AN26" i="57"/>
  <c r="AO27" i="57"/>
  <c r="AL5" i="57"/>
  <c r="AL10" i="57"/>
  <c r="AL11" i="57"/>
  <c r="AL12" i="57"/>
  <c r="AL25" i="57"/>
  <c r="E73" i="56"/>
  <c r="E71" i="56"/>
  <c r="I73" i="56"/>
  <c r="I71" i="56"/>
  <c r="G4" i="53"/>
  <c r="P9" i="52" s="1"/>
  <c r="U4" i="53"/>
  <c r="G3" i="53"/>
  <c r="P8" i="52" s="1"/>
  <c r="O9" i="52"/>
  <c r="T4" i="53"/>
  <c r="Q3" i="53"/>
  <c r="T3" i="53"/>
  <c r="G13" i="55"/>
  <c r="P18" i="54" s="1"/>
  <c r="O18" i="54"/>
  <c r="U12" i="55"/>
  <c r="G5" i="55"/>
  <c r="P10" i="54" s="1"/>
  <c r="G6" i="55"/>
  <c r="P11" i="54" s="1"/>
  <c r="U11" i="55"/>
  <c r="G10" i="55"/>
  <c r="P15" i="54" s="1"/>
  <c r="Q10" i="55"/>
  <c r="N15" i="54"/>
  <c r="U10" i="55"/>
  <c r="U3" i="55"/>
  <c r="Q4" i="55"/>
  <c r="U4" i="55"/>
  <c r="Q5" i="55"/>
  <c r="R6" i="55"/>
  <c r="Q12" i="55"/>
  <c r="R13" i="55"/>
  <c r="Q19" i="55"/>
  <c r="R20" i="55"/>
  <c r="Q26" i="55"/>
  <c r="R27" i="55"/>
  <c r="S6" i="55"/>
  <c r="S13" i="55"/>
  <c r="S20" i="55"/>
  <c r="S27" i="55"/>
  <c r="S5" i="55"/>
  <c r="S12" i="55"/>
  <c r="S19" i="55"/>
  <c r="S26" i="55"/>
  <c r="AP3" i="55"/>
  <c r="AP5" i="55"/>
  <c r="AP10" i="55"/>
  <c r="AP12" i="55"/>
  <c r="AP17" i="55"/>
  <c r="AP19" i="55"/>
  <c r="AP24" i="55"/>
  <c r="AP26" i="55"/>
  <c r="AL3" i="55"/>
  <c r="AL4" i="55"/>
  <c r="AL5" i="55"/>
  <c r="AL10" i="55"/>
  <c r="AL11" i="55"/>
  <c r="AL12" i="55"/>
  <c r="AL17" i="55"/>
  <c r="AL18" i="55"/>
  <c r="AL19" i="55"/>
  <c r="AL24" i="55"/>
  <c r="AL25" i="55"/>
  <c r="AL26" i="55"/>
  <c r="AN6" i="55"/>
  <c r="AN13" i="55"/>
  <c r="AN20" i="55"/>
  <c r="AN27" i="55"/>
  <c r="AO3" i="55"/>
  <c r="AO4" i="55"/>
  <c r="AN5" i="55"/>
  <c r="AO6" i="55"/>
  <c r="AO10" i="55"/>
  <c r="AO11" i="55"/>
  <c r="AN12" i="55"/>
  <c r="AO13" i="55"/>
  <c r="AO17" i="55"/>
  <c r="AO18" i="55"/>
  <c r="AN19" i="55"/>
  <c r="AO20" i="55"/>
  <c r="AO24" i="55"/>
  <c r="AO25" i="55"/>
  <c r="AN26" i="55"/>
  <c r="AO27" i="55"/>
  <c r="E73" i="54"/>
  <c r="E71" i="54"/>
  <c r="I73" i="54"/>
  <c r="I71" i="54"/>
  <c r="C9" i="14"/>
  <c r="C4" i="14"/>
  <c r="C6" i="14"/>
  <c r="C5" i="14"/>
  <c r="C7" i="14"/>
</calcChain>
</file>

<file path=xl/sharedStrings.xml><?xml version="1.0" encoding="utf-8"?>
<sst xmlns="http://schemas.openxmlformats.org/spreadsheetml/2006/main" count="1715" uniqueCount="187">
  <si>
    <t>Key dates :</t>
  </si>
  <si>
    <t>Beginning :</t>
  </si>
  <si>
    <t>Round of 16 :</t>
  </si>
  <si>
    <t>Quarter-finals :</t>
  </si>
  <si>
    <t>Semi-final :</t>
  </si>
  <si>
    <t>3rd place :</t>
  </si>
  <si>
    <t xml:space="preserve">Final : </t>
  </si>
  <si>
    <t>Group</t>
  </si>
  <si>
    <t>A</t>
  </si>
  <si>
    <t>Team</t>
  </si>
  <si>
    <t>MG</t>
  </si>
  <si>
    <t>SG</t>
  </si>
  <si>
    <t>GD</t>
  </si>
  <si>
    <t>games</t>
  </si>
  <si>
    <t>Pts</t>
  </si>
  <si>
    <t>1-2</t>
  </si>
  <si>
    <t>1-3</t>
  </si>
  <si>
    <t>1-4</t>
  </si>
  <si>
    <t>2-3</t>
  </si>
  <si>
    <t>2-4</t>
  </si>
  <si>
    <t>3-4</t>
  </si>
  <si>
    <t>1-2-3</t>
  </si>
  <si>
    <t>2-3-4</t>
  </si>
  <si>
    <t>1-3-4</t>
  </si>
  <si>
    <t>1-2-4</t>
  </si>
  <si>
    <t>1-2-3-4</t>
  </si>
  <si>
    <t>E</t>
  </si>
  <si>
    <t>A1</t>
  </si>
  <si>
    <t>Qatar</t>
  </si>
  <si>
    <t>E1</t>
  </si>
  <si>
    <t>Spain</t>
  </si>
  <si>
    <t>A2</t>
  </si>
  <si>
    <t>Ecuador</t>
  </si>
  <si>
    <t>E2</t>
  </si>
  <si>
    <t>Germany</t>
  </si>
  <si>
    <t>A3</t>
  </si>
  <si>
    <t>Senegal</t>
  </si>
  <si>
    <t>E3</t>
  </si>
  <si>
    <t>Japan</t>
  </si>
  <si>
    <t>A4</t>
  </si>
  <si>
    <t>Netherlands</t>
  </si>
  <si>
    <t>E4</t>
  </si>
  <si>
    <t>Costa Rica</t>
  </si>
  <si>
    <t>B</t>
  </si>
  <si>
    <t>F</t>
  </si>
  <si>
    <t>B1</t>
  </si>
  <si>
    <t>England</t>
  </si>
  <si>
    <t>F1</t>
  </si>
  <si>
    <t>Belgium</t>
  </si>
  <si>
    <t>B2</t>
  </si>
  <si>
    <t>IR Iran</t>
  </si>
  <si>
    <t>F2</t>
  </si>
  <si>
    <t>Canada</t>
  </si>
  <si>
    <t>B3</t>
  </si>
  <si>
    <t>USA</t>
  </si>
  <si>
    <t>F3</t>
  </si>
  <si>
    <t>Morocco</t>
  </si>
  <si>
    <t>B4</t>
  </si>
  <si>
    <t>Wales</t>
  </si>
  <si>
    <t>F4</t>
  </si>
  <si>
    <t>Croatia</t>
  </si>
  <si>
    <t xml:space="preserve">Group </t>
  </si>
  <si>
    <t>C</t>
  </si>
  <si>
    <t>G</t>
  </si>
  <si>
    <t>C1</t>
  </si>
  <si>
    <t>Argentina</t>
  </si>
  <si>
    <t>G1</t>
  </si>
  <si>
    <t>Brazil</t>
  </si>
  <si>
    <t>C2</t>
  </si>
  <si>
    <t>Saudi Arabia</t>
  </si>
  <si>
    <t>G2</t>
  </si>
  <si>
    <t>Serbia</t>
  </si>
  <si>
    <t>C3</t>
  </si>
  <si>
    <t>Mexico</t>
  </si>
  <si>
    <t>G3</t>
  </si>
  <si>
    <t>Switzerland</t>
  </si>
  <si>
    <t>C4</t>
  </si>
  <si>
    <t>Poland</t>
  </si>
  <si>
    <t>G4</t>
  </si>
  <si>
    <t>Cameroon</t>
  </si>
  <si>
    <t>D</t>
  </si>
  <si>
    <t>H</t>
  </si>
  <si>
    <t>D1</t>
  </si>
  <si>
    <t>France</t>
  </si>
  <si>
    <t>H1</t>
  </si>
  <si>
    <t>Portugal</t>
  </si>
  <si>
    <t>D2</t>
  </si>
  <si>
    <t>Denmark</t>
  </si>
  <si>
    <t>H2</t>
  </si>
  <si>
    <t>Ghana</t>
  </si>
  <si>
    <t>D3</t>
  </si>
  <si>
    <t>Tunisia</t>
  </si>
  <si>
    <t>H3</t>
  </si>
  <si>
    <t>Uruguay</t>
  </si>
  <si>
    <t>D4</t>
  </si>
  <si>
    <t>Australia</t>
  </si>
  <si>
    <t>H4</t>
  </si>
  <si>
    <t>Korea Republic</t>
  </si>
  <si>
    <t>Date</t>
  </si>
  <si>
    <t>Hour</t>
  </si>
  <si>
    <t>Team A</t>
  </si>
  <si>
    <t>Team B</t>
  </si>
  <si>
    <t>20 November 2022</t>
  </si>
  <si>
    <t>-</t>
  </si>
  <si>
    <t>21
November
2022</t>
  </si>
  <si>
    <t>Group A</t>
  </si>
  <si>
    <t>Group E</t>
  </si>
  <si>
    <t>22
November
2022</t>
  </si>
  <si>
    <t>23
November
2022</t>
  </si>
  <si>
    <t>Group B</t>
  </si>
  <si>
    <t>Group F</t>
  </si>
  <si>
    <t>24
November
2022</t>
  </si>
  <si>
    <t>Group C</t>
  </si>
  <si>
    <t>Group G</t>
  </si>
  <si>
    <t>25
November
2022</t>
  </si>
  <si>
    <t>26
November
2022</t>
  </si>
  <si>
    <t>Group D</t>
  </si>
  <si>
    <t>Group H</t>
  </si>
  <si>
    <t>27
November
2022</t>
  </si>
  <si>
    <t>28
November
2022</t>
  </si>
  <si>
    <t>29
November
2022</t>
  </si>
  <si>
    <t>30
November
2022</t>
  </si>
  <si>
    <t>01
December
2022</t>
  </si>
  <si>
    <t>02
December
2022</t>
  </si>
  <si>
    <t>Round of 16</t>
  </si>
  <si>
    <t>03 
December 
2022</t>
  </si>
  <si>
    <t>1A - 2B</t>
  </si>
  <si>
    <t>1C - 2D</t>
  </si>
  <si>
    <t>04 December 2022</t>
  </si>
  <si>
    <t>1D - 2C</t>
  </si>
  <si>
    <t>1B - 2A</t>
  </si>
  <si>
    <t>05 December 2022</t>
  </si>
  <si>
    <t>1E - 2F</t>
  </si>
  <si>
    <t>1G - 2H</t>
  </si>
  <si>
    <t>06 December 2022</t>
  </si>
  <si>
    <t>1F - 2E</t>
  </si>
  <si>
    <t>1H - 2G</t>
  </si>
  <si>
    <t>Quarter-finales</t>
  </si>
  <si>
    <t>09 December 2022</t>
  </si>
  <si>
    <t>10 December 2022</t>
  </si>
  <si>
    <t>Semi-Finals</t>
  </si>
  <si>
    <t>13 December 2022</t>
  </si>
  <si>
    <t>14 December 2022</t>
  </si>
  <si>
    <t>3rd Place</t>
  </si>
  <si>
    <t>17 December 2022</t>
  </si>
  <si>
    <t>FINAL</t>
  </si>
  <si>
    <t>18 December 2022</t>
  </si>
  <si>
    <t>SCORE</t>
  </si>
  <si>
    <t>Name</t>
  </si>
  <si>
    <t xml:space="preserve">Qualification </t>
  </si>
  <si>
    <t>Quarter-Finals</t>
  </si>
  <si>
    <t>Final</t>
  </si>
  <si>
    <t>#1</t>
  </si>
  <si>
    <t>MarcoEsteves</t>
  </si>
  <si>
    <t>#2</t>
  </si>
  <si>
    <t>DianaCeleiro</t>
  </si>
  <si>
    <t>#3</t>
  </si>
  <si>
    <t>#4</t>
  </si>
  <si>
    <t>#5</t>
  </si>
  <si>
    <t>#6</t>
  </si>
  <si>
    <t>#7</t>
  </si>
  <si>
    <t>#8</t>
  </si>
  <si>
    <t>#9</t>
  </si>
  <si>
    <t>#10</t>
  </si>
  <si>
    <t>#11</t>
  </si>
  <si>
    <t>#12</t>
  </si>
  <si>
    <t>#13</t>
  </si>
  <si>
    <t>#14</t>
  </si>
  <si>
    <t>#15</t>
  </si>
  <si>
    <t>#16</t>
  </si>
  <si>
    <t>#17</t>
  </si>
  <si>
    <t>#18</t>
  </si>
  <si>
    <t>#19</t>
  </si>
  <si>
    <t>#20</t>
  </si>
  <si>
    <t>#21</t>
  </si>
  <si>
    <t xml:space="preserve">Rules of the Game ! </t>
  </si>
  <si>
    <t>What is the main goal of the game ?</t>
  </si>
  <si>
    <t>With this game, you will be able to make your prognostics on the differents games of the Qatar World Cup 2022. The main goal is for your prognostics to be the closest of the real results to win a maximum of points.</t>
  </si>
  <si>
    <t>How can you win points ?</t>
  </si>
  <si>
    <t xml:space="preserve">Here are the rules to win points : 
   - Find the exact result of the game : + 5pts
   - Find the right goal difference* : + 3pts
   - Find the team who win (or lost) or if it was a draw** : + 1pts </t>
  </si>
  <si>
    <t>*You bet 1-0 and the game end 2-1
** You found the result with a different goal difference (you bet 1-0 and the game finish 2-0)</t>
  </si>
  <si>
    <t xml:space="preserve">Good Luck ! </t>
  </si>
  <si>
    <t>match nº</t>
  </si>
  <si>
    <t>date</t>
  </si>
  <si>
    <t>group</t>
  </si>
  <si>
    <t>team 1</t>
  </si>
  <si>
    <t>team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</si>
</sst>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b/>
      <sz val="11"/>
      <color theme="1"/>
      <name val="Calibri"/>
      <family val="2"/>
      <scheme val="minor"/>
    </font>
    <font>
      <b/>
      <u/>
      <sz val="24"/>
      <color theme="1"/>
      <name val="Garamond"/>
      <family val="1"/>
    </font>
    <font>
      <sz val="11"/>
      <color theme="1"/>
      <name val="Garamond"/>
      <family val="1"/>
    </font>
    <font>
      <u/>
      <sz val="14"/>
      <color theme="1"/>
      <name val="Garamond"/>
      <family val="1"/>
    </font>
    <font>
      <sz val="14"/>
      <color theme="1"/>
      <name val="Garamond"/>
      <family val="1"/>
    </font>
    <font>
      <b/>
      <i/>
      <u/>
      <sz val="18"/>
      <color theme="1"/>
      <name val="Garamond"/>
      <family val="1"/>
    </font>
    <font>
      <i/>
      <sz val="10"/>
      <color theme="1"/>
      <name val="Garamond"/>
      <family val="1"/>
    </font>
    <font>
      <sz val="11"/>
      <color theme="2"/>
      <name val="Garamond"/>
      <family val="1"/>
    </font>
    <font>
      <b/>
      <u/>
      <sz val="18"/>
      <color theme="1"/>
      <name val="Garamond"/>
      <family val="1"/>
    </font>
    <font>
      <sz val="9"/>
      <color theme="1"/>
      <name val="Garamond"/>
      <family val="1"/>
    </font>
    <font>
      <b/>
      <sz val="12"/>
      <color theme="1"/>
      <name val="Garamond"/>
      <family val="1"/>
    </font>
    <font>
      <b/>
      <sz val="11"/>
      <color theme="1"/>
      <name val="Garamond"/>
      <family val="1"/>
    </font>
    <font>
      <b/>
      <u/>
      <sz val="11"/>
      <color theme="1"/>
      <name val="Garamond"/>
      <family val="1"/>
    </font>
    <font>
      <b/>
      <i/>
      <sz val="16"/>
      <color theme="1"/>
      <name val="Garamond"/>
      <family val="1"/>
    </font>
    <font>
      <b/>
      <u/>
      <sz val="20"/>
      <color theme="1"/>
      <name val="Garamond"/>
      <family val="1"/>
    </font>
    <font>
      <sz val="10"/>
      <color theme="1"/>
      <name val="Garamond"/>
      <family val="1"/>
    </font>
  </fonts>
  <fills count="4">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s>
  <borders count="26">
    <border>
      <left/>
      <right/>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dashDotDot">
        <color indexed="64"/>
      </right>
      <top style="double">
        <color indexed="64"/>
      </top>
      <bottom style="dashDotDot">
        <color indexed="64"/>
      </bottom>
      <diagonal/>
    </border>
    <border>
      <left/>
      <right/>
      <top style="double">
        <color indexed="64"/>
      </top>
      <bottom style="dashDotDot">
        <color indexed="64"/>
      </bottom>
      <diagonal/>
    </border>
    <border>
      <left/>
      <right style="dashDotDot">
        <color indexed="64"/>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auto="1"/>
      </left>
      <right/>
      <top style="double">
        <color auto="1"/>
      </top>
      <bottom style="double">
        <color auto="1"/>
      </bottom>
      <diagonal/>
    </border>
    <border>
      <left/>
      <right/>
      <top style="double">
        <color auto="1"/>
      </top>
      <bottom style="double">
        <color auto="1"/>
      </bottom>
      <diagonal/>
    </border>
    <border>
      <left/>
      <right style="thin">
        <color auto="1"/>
      </right>
      <top style="double">
        <color auto="1"/>
      </top>
      <bottom style="double">
        <color auto="1"/>
      </bottom>
      <diagonal/>
    </border>
    <border>
      <left/>
      <right/>
      <top style="double">
        <color auto="1"/>
      </top>
      <bottom/>
      <diagonal/>
    </border>
    <border>
      <left/>
      <right/>
      <top style="medium">
        <color indexed="64"/>
      </top>
      <bottom/>
      <diagonal/>
    </border>
    <border>
      <left/>
      <right/>
      <top/>
      <bottom style="medium">
        <color indexed="64"/>
      </bottom>
      <diagonal/>
    </border>
  </borders>
  <cellStyleXfs count="1">
    <xf numFmtId="0" fontId="0" fillId="0" borderId="0"/>
  </cellStyleXfs>
  <cellXfs count="72">
    <xf numFmtId="0" fontId="0" fillId="0" borderId="0" xfId="0"/>
    <xf numFmtId="0" fontId="1" fillId="0" borderId="7" xfId="0" applyFont="1" applyBorder="1"/>
    <xf numFmtId="0" fontId="1" fillId="0" borderId="8" xfId="0" quotePrefix="1" applyFont="1" applyBorder="1"/>
    <xf numFmtId="0" fontId="0" fillId="0" borderId="7" xfId="0" applyBorder="1"/>
    <xf numFmtId="14" fontId="0" fillId="0" borderId="0" xfId="0" applyNumberFormat="1"/>
    <xf numFmtId="20" fontId="0" fillId="0" borderId="0" xfId="0" applyNumberFormat="1"/>
    <xf numFmtId="0" fontId="1" fillId="0" borderId="0" xfId="0" applyFont="1"/>
    <xf numFmtId="0" fontId="3" fillId="0" borderId="0" xfId="0" applyFont="1"/>
    <xf numFmtId="0" fontId="4" fillId="0" borderId="0" xfId="0" applyFont="1"/>
    <xf numFmtId="0" fontId="5" fillId="0" borderId="0" xfId="0" applyFont="1"/>
    <xf numFmtId="14" fontId="8" fillId="0" borderId="0" xfId="0" applyNumberFormat="1" applyFont="1"/>
    <xf numFmtId="0" fontId="8" fillId="0" borderId="0" xfId="0" applyFont="1"/>
    <xf numFmtId="0" fontId="3" fillId="0" borderId="9" xfId="0" applyFont="1" applyBorder="1"/>
    <xf numFmtId="0" fontId="3" fillId="0" borderId="10" xfId="0" applyFont="1" applyBorder="1"/>
    <xf numFmtId="0" fontId="3" fillId="0" borderId="11" xfId="0" applyFont="1" applyBorder="1"/>
    <xf numFmtId="0" fontId="3" fillId="0" borderId="12" xfId="0" applyFont="1" applyBorder="1"/>
    <xf numFmtId="0" fontId="3" fillId="0" borderId="13" xfId="0" applyFont="1" applyBorder="1"/>
    <xf numFmtId="0" fontId="3" fillId="0" borderId="14" xfId="0" applyFont="1" applyBorder="1"/>
    <xf numFmtId="0" fontId="3" fillId="0" borderId="0" xfId="0" applyFont="1" applyAlignment="1">
      <alignment horizontal="center"/>
    </xf>
    <xf numFmtId="0" fontId="3" fillId="0" borderId="0" xfId="0" applyFont="1" applyAlignment="1">
      <alignment horizontal="center" vertical="center"/>
    </xf>
    <xf numFmtId="0" fontId="10" fillId="0" borderId="0" xfId="0" applyFont="1" applyAlignment="1">
      <alignment wrapText="1"/>
    </xf>
    <xf numFmtId="0" fontId="3" fillId="0" borderId="0" xfId="0" quotePrefix="1" applyFont="1"/>
    <xf numFmtId="0" fontId="3" fillId="2" borderId="0" xfId="0" applyFont="1" applyFill="1"/>
    <xf numFmtId="20" fontId="3" fillId="0" borderId="0" xfId="0" applyNumberFormat="1" applyFont="1" applyAlignment="1">
      <alignment horizontal="center" vertical="center"/>
    </xf>
    <xf numFmtId="0" fontId="3" fillId="0" borderId="0" xfId="0" applyFont="1" applyAlignment="1">
      <alignment vertical="center"/>
    </xf>
    <xf numFmtId="0" fontId="3" fillId="0" borderId="3" xfId="0" applyFont="1" applyBorder="1" applyAlignment="1">
      <alignment horizontal="center" vertical="center"/>
    </xf>
    <xf numFmtId="0" fontId="12" fillId="2" borderId="4" xfId="0" applyFont="1" applyFill="1" applyBorder="1"/>
    <xf numFmtId="0" fontId="12" fillId="2" borderId="6" xfId="0" applyFont="1" applyFill="1" applyBorder="1"/>
    <xf numFmtId="0" fontId="14" fillId="0" borderId="1" xfId="0" applyFont="1" applyBorder="1" applyAlignment="1">
      <alignment horizontal="center" vertical="center"/>
    </xf>
    <xf numFmtId="20" fontId="3" fillId="0" borderId="0" xfId="0" applyNumberFormat="1" applyFont="1" applyAlignment="1">
      <alignment horizontal="center"/>
    </xf>
    <xf numFmtId="0" fontId="3" fillId="3" borderId="0" xfId="0" applyFont="1" applyFill="1"/>
    <xf numFmtId="0" fontId="3" fillId="0" borderId="2" xfId="0" applyFont="1" applyBorder="1" applyAlignment="1" applyProtection="1">
      <alignment horizontal="center" vertical="center"/>
      <protection locked="0"/>
    </xf>
    <xf numFmtId="0" fontId="3" fillId="0" borderId="19" xfId="0" applyFont="1" applyBorder="1" applyAlignment="1" applyProtection="1">
      <alignment horizontal="center" vertical="center"/>
      <protection locked="0"/>
    </xf>
    <xf numFmtId="0" fontId="3" fillId="0" borderId="0" xfId="0" quotePrefix="1" applyFont="1" applyAlignment="1">
      <alignment horizontal="center"/>
    </xf>
    <xf numFmtId="0" fontId="13" fillId="0" borderId="0" xfId="0" applyFont="1" applyAlignment="1">
      <alignment horizontal="center" vertical="center"/>
    </xf>
    <xf numFmtId="0" fontId="13" fillId="0" borderId="8" xfId="0" applyFont="1" applyBorder="1" applyAlignment="1">
      <alignment horizontal="center" vertical="center"/>
    </xf>
    <xf numFmtId="0" fontId="16" fillId="0" borderId="0" xfId="0" applyFont="1" applyAlignment="1">
      <alignment horizontal="center" vertical="center"/>
    </xf>
    <xf numFmtId="0" fontId="3" fillId="0" borderId="0" xfId="0" applyFont="1" applyAlignment="1" applyProtection="1">
      <alignment vertical="center"/>
      <protection locked="0"/>
    </xf>
    <xf numFmtId="0" fontId="3" fillId="0" borderId="8" xfId="0" applyFont="1" applyBorder="1" applyAlignment="1" applyProtection="1">
      <alignment horizontal="center" vertical="center"/>
      <protection locked="0"/>
    </xf>
    <xf numFmtId="0" fontId="3" fillId="0" borderId="8" xfId="0" applyFont="1" applyBorder="1" applyAlignment="1">
      <alignment horizontal="center" vertical="center"/>
    </xf>
    <xf numFmtId="0" fontId="3" fillId="0" borderId="0" xfId="0" applyFont="1" applyProtection="1">
      <protection locked="0"/>
    </xf>
    <xf numFmtId="0" fontId="3" fillId="0" borderId="0" xfId="0" applyFont="1" applyAlignment="1" applyProtection="1">
      <alignment horizontal="center"/>
      <protection locked="0"/>
    </xf>
    <xf numFmtId="0" fontId="14" fillId="0" borderId="0" xfId="0" applyFont="1" applyAlignment="1">
      <alignment horizontal="center" vertical="center"/>
    </xf>
    <xf numFmtId="0" fontId="1" fillId="0" borderId="0" xfId="0" quotePrefix="1" applyFont="1"/>
    <xf numFmtId="16" fontId="1" fillId="0" borderId="0" xfId="0" quotePrefix="1" applyNumberFormat="1" applyFont="1"/>
    <xf numFmtId="0" fontId="3" fillId="2" borderId="0" xfId="0" applyFont="1" applyFill="1" applyAlignment="1">
      <alignment horizontal="center"/>
    </xf>
    <xf numFmtId="0" fontId="12" fillId="2" borderId="5" xfId="0" applyFont="1" applyFill="1" applyBorder="1" applyAlignment="1">
      <alignment horizontal="center"/>
    </xf>
    <xf numFmtId="0" fontId="3" fillId="0" borderId="2" xfId="0" quotePrefix="1" applyFont="1" applyBorder="1" applyAlignment="1" applyProtection="1">
      <alignment horizontal="center" vertical="center"/>
      <protection locked="0"/>
    </xf>
    <xf numFmtId="0" fontId="9" fillId="0" borderId="15" xfId="0" applyFont="1" applyBorder="1" applyAlignment="1">
      <alignment horizontal="center" vertical="center"/>
    </xf>
    <xf numFmtId="0" fontId="9" fillId="0" borderId="16" xfId="0" applyFont="1" applyBorder="1" applyAlignment="1">
      <alignment horizontal="center" vertical="center"/>
    </xf>
    <xf numFmtId="0" fontId="9" fillId="0" borderId="17" xfId="0" applyFont="1" applyBorder="1" applyAlignment="1">
      <alignment horizontal="center" vertical="center"/>
    </xf>
    <xf numFmtId="0" fontId="9" fillId="0" borderId="18" xfId="0" applyFont="1" applyBorder="1" applyAlignment="1">
      <alignment horizontal="center" vertical="center"/>
    </xf>
    <xf numFmtId="0" fontId="3" fillId="2" borderId="23" xfId="0" applyFont="1" applyFill="1" applyBorder="1" applyAlignment="1">
      <alignment horizontal="center" wrapText="1"/>
    </xf>
    <xf numFmtId="0" fontId="3" fillId="2" borderId="0" xfId="0" applyFont="1" applyFill="1" applyAlignment="1">
      <alignment horizontal="center" wrapText="1"/>
    </xf>
    <xf numFmtId="0" fontId="3" fillId="3" borderId="0" xfId="0" applyFont="1" applyFill="1" applyAlignment="1">
      <alignment horizontal="center" wrapTex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14" fontId="5" fillId="2" borderId="0" xfId="0" applyNumberFormat="1" applyFont="1" applyFill="1" applyAlignment="1">
      <alignment horizontal="center" vertical="top" textRotation="90" wrapText="1"/>
    </xf>
    <xf numFmtId="14" fontId="5" fillId="3" borderId="0" xfId="0" applyNumberFormat="1" applyFont="1" applyFill="1" applyAlignment="1">
      <alignment horizontal="center" vertical="top" textRotation="90" wrapText="1"/>
    </xf>
    <xf numFmtId="0" fontId="3" fillId="2" borderId="0" xfId="0" applyFont="1" applyFill="1" applyAlignment="1">
      <alignment horizontal="center"/>
    </xf>
    <xf numFmtId="0" fontId="11" fillId="2" borderId="1" xfId="0" applyFont="1" applyFill="1" applyBorder="1" applyAlignment="1">
      <alignment horizontal="center"/>
    </xf>
    <xf numFmtId="0" fontId="15" fillId="0" borderId="15" xfId="0" applyFont="1" applyBorder="1" applyAlignment="1">
      <alignment horizontal="center" vertical="center"/>
    </xf>
    <xf numFmtId="0" fontId="15" fillId="0" borderId="24"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25" xfId="0" applyFont="1" applyBorder="1" applyAlignment="1">
      <alignment horizontal="center" vertical="center"/>
    </xf>
    <xf numFmtId="0" fontId="15" fillId="0" borderId="18" xfId="0" applyFont="1" applyBorder="1" applyAlignment="1">
      <alignment horizontal="center" vertical="center"/>
    </xf>
    <xf numFmtId="0" fontId="2" fillId="0" borderId="0" xfId="0" applyFont="1" applyAlignment="1">
      <alignment horizontal="center" vertical="center"/>
    </xf>
    <xf numFmtId="0" fontId="3" fillId="0" borderId="0" xfId="0" applyFont="1" applyAlignment="1">
      <alignment horizontal="left" vertical="top" wrapText="1"/>
    </xf>
    <xf numFmtId="0" fontId="6" fillId="0" borderId="0" xfId="0" applyFont="1" applyAlignment="1">
      <alignment horizontal="center" vertical="center"/>
    </xf>
    <xf numFmtId="0" fontId="7" fillId="0" borderId="0" xfId="0" applyFont="1" applyAlignment="1">
      <alignment horizontal="left" vertical="top" wrapText="1"/>
    </xf>
  </cellXfs>
  <cellStyles count="1">
    <cellStyle name="Normal" xfId="0" builtinId="0"/>
  </cellStyles>
  <dxfs count="146">
    <dxf>
      <numFmt numFmtId="25" formatCode="hh:mm"/>
    </dxf>
    <dxf>
      <numFmt numFmtId="19" formatCode="dd/mm/yyyy"/>
    </dxf>
    <dxf>
      <font>
        <b/>
        <i val="0"/>
      </font>
      <fill>
        <patternFill>
          <bgColor theme="9" tint="0.79998168889431442"/>
        </patternFill>
      </fill>
    </dxf>
    <dxf>
      <font>
        <b/>
        <i val="0"/>
      </font>
      <fill>
        <patternFill>
          <bgColor theme="9" tint="0.79998168889431442"/>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b/>
        <i val="0"/>
      </font>
      <fill>
        <patternFill>
          <bgColor theme="9" tint="0.79998168889431442"/>
        </patternFill>
      </fill>
    </dxf>
    <dxf>
      <font>
        <b/>
        <i val="0"/>
      </font>
      <fill>
        <patternFill>
          <bgColor theme="9" tint="0.79998168889431442"/>
        </patternFill>
      </fill>
    </dxf>
    <dxf>
      <font>
        <b/>
        <i val="0"/>
      </font>
      <fill>
        <patternFill>
          <bgColor theme="9" tint="0.79998168889431442"/>
        </patternFill>
      </fill>
    </dxf>
    <dxf>
      <font>
        <b/>
        <i val="0"/>
      </font>
      <fill>
        <patternFill>
          <bgColor theme="9" tint="0.79998168889431442"/>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b/>
        <i val="0"/>
      </font>
      <fill>
        <patternFill>
          <bgColor theme="9" tint="0.79998168889431442"/>
        </patternFill>
      </fill>
    </dxf>
    <dxf>
      <font>
        <b/>
        <i val="0"/>
      </font>
      <fill>
        <patternFill>
          <bgColor theme="9" tint="0.79998168889431442"/>
        </patternFill>
      </fill>
    </dxf>
    <dxf>
      <font>
        <b/>
        <i val="0"/>
      </font>
      <fill>
        <patternFill>
          <bgColor theme="9" tint="0.79998168889431442"/>
        </patternFill>
      </fill>
    </dxf>
    <dxf>
      <font>
        <b/>
        <i val="0"/>
      </font>
      <fill>
        <patternFill>
          <bgColor theme="9" tint="0.79998168889431442"/>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b/>
        <i val="0"/>
      </font>
      <fill>
        <patternFill>
          <bgColor theme="9" tint="0.79998168889431442"/>
        </patternFill>
      </fill>
    </dxf>
    <dxf>
      <font>
        <b/>
        <i val="0"/>
      </font>
      <fill>
        <patternFill>
          <bgColor theme="9" tint="0.79998168889431442"/>
        </patternFill>
      </fill>
    </dxf>
    <dxf>
      <font>
        <b/>
        <i val="0"/>
      </font>
      <fill>
        <patternFill>
          <bgColor theme="9" tint="0.79998168889431442"/>
        </patternFill>
      </fill>
    </dxf>
    <dxf>
      <font>
        <b/>
        <i val="0"/>
      </font>
      <fill>
        <patternFill>
          <bgColor theme="9" tint="0.79998168889431442"/>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b/>
        <i val="0"/>
      </font>
      <fill>
        <patternFill>
          <bgColor theme="9" tint="0.79998168889431442"/>
        </patternFill>
      </fill>
    </dxf>
    <dxf>
      <font>
        <b/>
        <i val="0"/>
      </font>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Garamond" panose="02020404030301010803" pitchFamily="18" charset="0"/>
                <a:ea typeface="+mn-ea"/>
                <a:cs typeface="+mn-cs"/>
              </a:defRPr>
            </a:pPr>
            <a:r>
              <a:rPr lang="en-GB"/>
              <a:t>ClaSSification</a:t>
            </a:r>
          </a:p>
        </c:rich>
      </c:tx>
      <c:overlay val="0"/>
      <c:spPr>
        <a:noFill/>
        <a:ln>
          <a:noFill/>
        </a:ln>
        <a:effectLst/>
      </c:spPr>
      <c:txPr>
        <a:bodyPr rot="0" spcFirstLastPara="1" vertOverflow="ellipsis" vert="horz" wrap="square" anchor="ctr" anchorCtr="1"/>
        <a:lstStyle/>
        <a:p>
          <a:pPr>
            <a:defRPr sz="1440" b="0" i="0" u="none" strike="noStrike" kern="1200" cap="all" spc="0" baseline="0">
              <a:gradFill>
                <a:gsLst>
                  <a:gs pos="0">
                    <a:schemeClr val="dk1">
                      <a:lumMod val="50000"/>
                      <a:lumOff val="50000"/>
                    </a:schemeClr>
                  </a:gs>
                  <a:gs pos="100000">
                    <a:schemeClr val="dk1">
                      <a:lumMod val="85000"/>
                      <a:lumOff val="15000"/>
                    </a:schemeClr>
                  </a:gs>
                </a:gsLst>
                <a:lin ang="5400000" scaled="0"/>
              </a:gradFill>
              <a:latin typeface="Garamond" panose="02020404030301010803" pitchFamily="18" charset="0"/>
              <a:ea typeface="+mn-ea"/>
              <a:cs typeface="+mn-cs"/>
            </a:defRPr>
          </a:pPr>
          <a:endParaRPr lang="en-US"/>
        </a:p>
      </c:txPr>
    </c:title>
    <c:autoTitleDeleted val="0"/>
    <c:plotArea>
      <c:layout/>
      <c:lineChart>
        <c:grouping val="standard"/>
        <c:varyColors val="0"/>
        <c:ser>
          <c:idx val="0"/>
          <c:order val="0"/>
          <c:tx>
            <c:strRef>
              <c:f>Scores!$C$7</c:f>
              <c:strCache>
                <c:ptCount val="1"/>
                <c:pt idx="0">
                  <c:v>MarcoEsteves</c:v>
                </c:pt>
              </c:strCache>
            </c:strRef>
          </c:tx>
          <c:spPr>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s>
            <c:spPr>
              <a:noFill/>
              <a:ln>
                <a:noFill/>
              </a:ln>
              <a:effectLst/>
            </c:spPr>
            <c:txPr>
              <a:bodyPr rot="0" spcFirstLastPara="1" vertOverflow="ellipsis" vert="horz" wrap="square" anchor="ctr" anchorCtr="1"/>
              <a:lstStyle/>
              <a:p>
                <a:pPr>
                  <a:defRPr sz="900" b="1" i="0" u="none" strike="noStrike" kern="1200" baseline="0">
                    <a:solidFill>
                      <a:schemeClr val="accent1"/>
                    </a:solidFill>
                    <a:latin typeface="Garamond" panose="02020404030301010803" pitchFamily="18"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extLst>
                <c:ext xmlns:c15="http://schemas.microsoft.com/office/drawing/2012/chart" uri="{02D57815-91ED-43cb-92C2-25804820EDAC}">
                  <c15:fullRef>
                    <c15:sqref>Scores!$C$6:$I$6</c15:sqref>
                  </c15:fullRef>
                </c:ext>
              </c:extLst>
              <c:f>Scores!$D$6:$I$6</c:f>
              <c:strCache>
                <c:ptCount val="6"/>
                <c:pt idx="0">
                  <c:v>Qualification </c:v>
                </c:pt>
                <c:pt idx="1">
                  <c:v>Round of 16</c:v>
                </c:pt>
                <c:pt idx="2">
                  <c:v>Quarter-Finals</c:v>
                </c:pt>
                <c:pt idx="3">
                  <c:v>Semi-Finals</c:v>
                </c:pt>
                <c:pt idx="4">
                  <c:v>3rd Place</c:v>
                </c:pt>
                <c:pt idx="5">
                  <c:v>Final</c:v>
                </c:pt>
              </c:strCache>
            </c:strRef>
          </c:cat>
          <c:val>
            <c:numRef>
              <c:extLst>
                <c:ext xmlns:c15="http://schemas.microsoft.com/office/drawing/2012/chart" uri="{02D57815-91ED-43cb-92C2-25804820EDAC}">
                  <c15:fullRef>
                    <c15:sqref>Scores!$C$7:$I$7</c15:sqref>
                  </c15:fullRef>
                </c:ext>
              </c:extLst>
              <c:f>Scores!$D$7:$I$7</c:f>
              <c:numCache>
                <c:formatCode>General</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A5AC-4117-B59F-E2C4A8ACAC32}"/>
            </c:ext>
          </c:extLst>
        </c:ser>
        <c:ser>
          <c:idx val="1"/>
          <c:order val="1"/>
          <c:tx>
            <c:strRef>
              <c:f>Scores!$C$8</c:f>
              <c:strCache>
                <c:ptCount val="1"/>
                <c:pt idx="0">
                  <c:v>DianaCeleiro</c:v>
                </c:pt>
              </c:strCache>
            </c:strRef>
          </c:tx>
          <c:spPr>
            <a:ln w="19050" cap="rnd" cmpd="sng" algn="ctr">
              <a:solidFill>
                <a:schemeClr val="accent2">
                  <a:shade val="95000"/>
                  <a:satMod val="105000"/>
                </a:schemeClr>
              </a:solidFill>
              <a:round/>
            </a:ln>
            <a:effectLst/>
          </c:spPr>
          <c:marker>
            <c:symbol val="circle"/>
            <c:size val="17"/>
            <c:spPr>
              <a:solidFill>
                <a:schemeClr val="lt1"/>
              </a:solidFill>
              <a:ln>
                <a:noFill/>
              </a:ln>
              <a:effectLst/>
            </c:spPr>
          </c:marker>
          <c:dLbls>
            <c:spPr>
              <a:noFill/>
              <a:ln>
                <a:noFill/>
              </a:ln>
              <a:effectLst/>
            </c:spPr>
            <c:txPr>
              <a:bodyPr rot="0" spcFirstLastPara="1" vertOverflow="ellipsis" vert="horz" wrap="square" anchor="ctr" anchorCtr="1"/>
              <a:lstStyle/>
              <a:p>
                <a:pPr>
                  <a:defRPr sz="900" b="1" i="0" u="none" strike="noStrike" kern="1200" baseline="0">
                    <a:solidFill>
                      <a:schemeClr val="accent2"/>
                    </a:solidFill>
                    <a:latin typeface="Garamond" panose="02020404030301010803" pitchFamily="18"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extLst>
                <c:ext xmlns:c15="http://schemas.microsoft.com/office/drawing/2012/chart" uri="{02D57815-91ED-43cb-92C2-25804820EDAC}">
                  <c15:fullRef>
                    <c15:sqref>Scores!$C$6:$I$6</c15:sqref>
                  </c15:fullRef>
                </c:ext>
              </c:extLst>
              <c:f>Scores!$D$6:$I$6</c:f>
              <c:strCache>
                <c:ptCount val="6"/>
                <c:pt idx="0">
                  <c:v>Qualification </c:v>
                </c:pt>
                <c:pt idx="1">
                  <c:v>Round of 16</c:v>
                </c:pt>
                <c:pt idx="2">
                  <c:v>Quarter-Finals</c:v>
                </c:pt>
                <c:pt idx="3">
                  <c:v>Semi-Finals</c:v>
                </c:pt>
                <c:pt idx="4">
                  <c:v>3rd Place</c:v>
                </c:pt>
                <c:pt idx="5">
                  <c:v>Final</c:v>
                </c:pt>
              </c:strCache>
            </c:strRef>
          </c:cat>
          <c:val>
            <c:numRef>
              <c:extLst>
                <c:ext xmlns:c15="http://schemas.microsoft.com/office/drawing/2012/chart" uri="{02D57815-91ED-43cb-92C2-25804820EDAC}">
                  <c15:fullRef>
                    <c15:sqref>Scores!$C$8:$I$8</c15:sqref>
                  </c15:fullRef>
                </c:ext>
              </c:extLst>
              <c:f>Scores!$D$8:$I$8</c:f>
              <c:numCache>
                <c:formatCode>General</c:formatCode>
                <c:ptCount val="6"/>
                <c:pt idx="0">
                  <c:v>3</c:v>
                </c:pt>
                <c:pt idx="1">
                  <c:v>3</c:v>
                </c:pt>
                <c:pt idx="2">
                  <c:v>3</c:v>
                </c:pt>
                <c:pt idx="3">
                  <c:v>3</c:v>
                </c:pt>
                <c:pt idx="4">
                  <c:v>3</c:v>
                </c:pt>
                <c:pt idx="5">
                  <c:v>3</c:v>
                </c:pt>
              </c:numCache>
            </c:numRef>
          </c:val>
          <c:smooth val="0"/>
          <c:extLst>
            <c:ext xmlns:c16="http://schemas.microsoft.com/office/drawing/2014/chart" uri="{C3380CC4-5D6E-409C-BE32-E72D297353CC}">
              <c16:uniqueId val="{00000001-A5AC-4117-B59F-E2C4A8ACAC32}"/>
            </c:ext>
          </c:extLst>
        </c:ser>
        <c:ser>
          <c:idx val="2"/>
          <c:order val="2"/>
          <c:tx>
            <c:strRef>
              <c:f>Scores!$C$9</c:f>
              <c:strCache>
                <c:ptCount val="1"/>
              </c:strCache>
            </c:strRef>
          </c:tx>
          <c:spPr>
            <a:ln w="19050" cap="rnd" cmpd="sng" algn="ctr">
              <a:solidFill>
                <a:schemeClr val="accent3">
                  <a:shade val="95000"/>
                  <a:satMod val="105000"/>
                </a:schemeClr>
              </a:solidFill>
              <a:round/>
            </a:ln>
            <a:effectLst/>
          </c:spPr>
          <c:marker>
            <c:symbol val="circle"/>
            <c:size val="17"/>
            <c:spPr>
              <a:solidFill>
                <a:schemeClr val="lt1"/>
              </a:solidFill>
              <a:ln>
                <a:noFill/>
              </a:ln>
              <a:effectLst/>
            </c:spPr>
          </c:marker>
          <c:dLbls>
            <c:spPr>
              <a:noFill/>
              <a:ln>
                <a:noFill/>
              </a:ln>
              <a:effectLst/>
            </c:spPr>
            <c:txPr>
              <a:bodyPr rot="0" spcFirstLastPara="1" vertOverflow="ellipsis" vert="horz" wrap="square" anchor="ctr" anchorCtr="1"/>
              <a:lstStyle/>
              <a:p>
                <a:pPr>
                  <a:defRPr sz="900" b="1" i="0" u="none" strike="noStrike" kern="1200" baseline="0">
                    <a:solidFill>
                      <a:schemeClr val="accent3"/>
                    </a:solidFill>
                    <a:latin typeface="Garamond" panose="02020404030301010803" pitchFamily="18"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extLst>
                <c:ext xmlns:c15="http://schemas.microsoft.com/office/drawing/2012/chart" uri="{02D57815-91ED-43cb-92C2-25804820EDAC}">
                  <c15:fullRef>
                    <c15:sqref>Scores!$C$6:$I$6</c15:sqref>
                  </c15:fullRef>
                </c:ext>
              </c:extLst>
              <c:f>Scores!$D$6:$I$6</c:f>
              <c:strCache>
                <c:ptCount val="6"/>
                <c:pt idx="0">
                  <c:v>Qualification </c:v>
                </c:pt>
                <c:pt idx="1">
                  <c:v>Round of 16</c:v>
                </c:pt>
                <c:pt idx="2">
                  <c:v>Quarter-Finals</c:v>
                </c:pt>
                <c:pt idx="3">
                  <c:v>Semi-Finals</c:v>
                </c:pt>
                <c:pt idx="4">
                  <c:v>3rd Place</c:v>
                </c:pt>
                <c:pt idx="5">
                  <c:v>Final</c:v>
                </c:pt>
              </c:strCache>
            </c:strRef>
          </c:cat>
          <c:val>
            <c:numRef>
              <c:extLst>
                <c:ext xmlns:c15="http://schemas.microsoft.com/office/drawing/2012/chart" uri="{02D57815-91ED-43cb-92C2-25804820EDAC}">
                  <c15:fullRef>
                    <c15:sqref>Scores!$C$9:$I$9</c15:sqref>
                  </c15:fullRef>
                </c:ext>
              </c:extLst>
              <c:f>Scores!$D$9:$I$9</c:f>
              <c:numCache>
                <c:formatCode>General</c:formatCode>
                <c:ptCount val="6"/>
              </c:numCache>
            </c:numRef>
          </c:val>
          <c:smooth val="0"/>
          <c:extLst>
            <c:ext xmlns:c16="http://schemas.microsoft.com/office/drawing/2014/chart" uri="{C3380CC4-5D6E-409C-BE32-E72D297353CC}">
              <c16:uniqueId val="{00000002-A5AC-4117-B59F-E2C4A8ACAC32}"/>
            </c:ext>
          </c:extLst>
        </c:ser>
        <c:dLbls>
          <c:dLblPos val="ctr"/>
          <c:showLegendKey val="0"/>
          <c:showVal val="1"/>
          <c:showCatName val="0"/>
          <c:showSerName val="0"/>
          <c:showPercent val="0"/>
          <c:showBubbleSize val="0"/>
        </c:dLbls>
        <c:marker val="1"/>
        <c:smooth val="0"/>
        <c:axId val="2034228623"/>
        <c:axId val="2034229871"/>
      </c:lineChart>
      <c:catAx>
        <c:axId val="2034228623"/>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dk1">
                    <a:lumMod val="65000"/>
                    <a:lumOff val="35000"/>
                  </a:schemeClr>
                </a:solidFill>
                <a:latin typeface="Garamond" panose="02020404030301010803" pitchFamily="18" charset="0"/>
                <a:ea typeface="+mn-ea"/>
                <a:cs typeface="+mn-cs"/>
              </a:defRPr>
            </a:pPr>
            <a:endParaRPr lang="en-US"/>
          </a:p>
        </c:txPr>
        <c:crossAx val="2034229871"/>
        <c:crosses val="autoZero"/>
        <c:auto val="1"/>
        <c:lblAlgn val="ctr"/>
        <c:lblOffset val="100"/>
        <c:noMultiLvlLbl val="0"/>
      </c:catAx>
      <c:valAx>
        <c:axId val="2034229871"/>
        <c:scaling>
          <c:orientation val="minMax"/>
        </c:scaling>
        <c:delete val="1"/>
        <c:axPos val="l"/>
        <c:numFmt formatCode="General" sourceLinked="1"/>
        <c:majorTickMark val="none"/>
        <c:minorTickMark val="none"/>
        <c:tickLblPos val="nextTo"/>
        <c:crossAx val="20342286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Garamond" panose="02020404030301010803" pitchFamily="18" charset="0"/>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latin typeface="Garamond" panose="02020404030301010803" pitchFamily="18"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47250</xdr:colOff>
      <xdr:row>2</xdr:row>
      <xdr:rowOff>0</xdr:rowOff>
    </xdr:from>
    <xdr:to>
      <xdr:col>9</xdr:col>
      <xdr:colOff>448050</xdr:colOff>
      <xdr:row>4</xdr:row>
      <xdr:rowOff>164500</xdr:rowOff>
    </xdr:to>
    <xdr:sp macro="[0]!RealScore" textlink="">
      <xdr:nvSpPr>
        <xdr:cNvPr id="2" name="Rounded Rectangle 1">
          <a:extLst>
            <a:ext uri="{FF2B5EF4-FFF2-40B4-BE49-F238E27FC236}">
              <a16:creationId xmlns:a16="http://schemas.microsoft.com/office/drawing/2014/main" id="{00000000-0008-0000-0000-000002000000}"/>
            </a:ext>
          </a:extLst>
        </xdr:cNvPr>
        <xdr:cNvSpPr/>
      </xdr:nvSpPr>
      <xdr:spPr>
        <a:xfrm>
          <a:off x="4314450" y="368300"/>
          <a:ext cx="1620000" cy="53280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latin typeface="Garamond" panose="02020404030301010803" pitchFamily="18" charset="0"/>
            </a:rPr>
            <a:t>Real</a:t>
          </a:r>
          <a:r>
            <a:rPr lang="en-GB" sz="1400" b="1" baseline="0">
              <a:solidFill>
                <a:schemeClr val="tx1"/>
              </a:solidFill>
              <a:latin typeface="Garamond" panose="02020404030301010803" pitchFamily="18" charset="0"/>
            </a:rPr>
            <a:t> Scores</a:t>
          </a:r>
          <a:endParaRPr lang="en-GB" sz="1400" b="1">
            <a:solidFill>
              <a:schemeClr val="tx1"/>
            </a:solidFill>
            <a:latin typeface="Garamond" panose="02020404030301010803" pitchFamily="18" charset="0"/>
          </a:endParaRPr>
        </a:p>
      </xdr:txBody>
    </xdr:sp>
    <xdr:clientData/>
  </xdr:twoCellAnchor>
  <xdr:twoCellAnchor>
    <xdr:from>
      <xdr:col>7</xdr:col>
      <xdr:colOff>47250</xdr:colOff>
      <xdr:row>7</xdr:row>
      <xdr:rowOff>0</xdr:rowOff>
    </xdr:from>
    <xdr:to>
      <xdr:col>9</xdr:col>
      <xdr:colOff>448050</xdr:colOff>
      <xdr:row>9</xdr:row>
      <xdr:rowOff>164500</xdr:rowOff>
    </xdr:to>
    <xdr:sp macro="[0]!Game" textlink="">
      <xdr:nvSpPr>
        <xdr:cNvPr id="3" name="Rounded Rectangle 2">
          <a:extLst>
            <a:ext uri="{FF2B5EF4-FFF2-40B4-BE49-F238E27FC236}">
              <a16:creationId xmlns:a16="http://schemas.microsoft.com/office/drawing/2014/main" id="{00000000-0008-0000-0000-000003000000}"/>
            </a:ext>
          </a:extLst>
        </xdr:cNvPr>
        <xdr:cNvSpPr/>
      </xdr:nvSpPr>
      <xdr:spPr>
        <a:xfrm>
          <a:off x="4314450" y="1289050"/>
          <a:ext cx="1620000" cy="53280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latin typeface="Garamond" panose="02020404030301010803" pitchFamily="18" charset="0"/>
            </a:rPr>
            <a:t>Game Scores</a:t>
          </a:r>
        </a:p>
      </xdr:txBody>
    </xdr:sp>
    <xdr:clientData/>
  </xdr:twoCellAnchor>
  <xdr:twoCellAnchor>
    <xdr:from>
      <xdr:col>7</xdr:col>
      <xdr:colOff>47250</xdr:colOff>
      <xdr:row>12</xdr:row>
      <xdr:rowOff>12700</xdr:rowOff>
    </xdr:from>
    <xdr:to>
      <xdr:col>9</xdr:col>
      <xdr:colOff>448050</xdr:colOff>
      <xdr:row>14</xdr:row>
      <xdr:rowOff>177200</xdr:rowOff>
    </xdr:to>
    <xdr:sp macro="[0]!MenuLinks.Rules" textlink="">
      <xdr:nvSpPr>
        <xdr:cNvPr id="4" name="Rounded Rectangle 3">
          <a:extLst>
            <a:ext uri="{FF2B5EF4-FFF2-40B4-BE49-F238E27FC236}">
              <a16:creationId xmlns:a16="http://schemas.microsoft.com/office/drawing/2014/main" id="{00000000-0008-0000-0000-000004000000}"/>
            </a:ext>
          </a:extLst>
        </xdr:cNvPr>
        <xdr:cNvSpPr/>
      </xdr:nvSpPr>
      <xdr:spPr>
        <a:xfrm>
          <a:off x="4314450" y="2222500"/>
          <a:ext cx="1620000" cy="532800"/>
        </a:xfrm>
        <a:prstGeom prst="roundRect">
          <a:avLst/>
        </a:prstGeom>
        <a:solidFill>
          <a:schemeClr val="accent4">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u="none">
              <a:solidFill>
                <a:schemeClr val="tx1"/>
              </a:solidFill>
              <a:latin typeface="Garamond" panose="02020404030301010803" pitchFamily="18" charset="0"/>
            </a:rPr>
            <a:t>Game</a:t>
          </a:r>
          <a:r>
            <a:rPr lang="en-GB" sz="1400" b="1" u="none" baseline="0">
              <a:solidFill>
                <a:schemeClr val="tx1"/>
              </a:solidFill>
              <a:latin typeface="Garamond" panose="02020404030301010803" pitchFamily="18" charset="0"/>
            </a:rPr>
            <a:t> Rules </a:t>
          </a:r>
          <a:endParaRPr lang="en-GB" sz="1400" b="1" u="none">
            <a:solidFill>
              <a:schemeClr val="tx1"/>
            </a:solidFill>
            <a:latin typeface="Garamond" panose="02020404030301010803"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214313</xdr:colOff>
      <xdr:row>0</xdr:row>
      <xdr:rowOff>138907</xdr:rowOff>
    </xdr:from>
    <xdr:to>
      <xdr:col>13</xdr:col>
      <xdr:colOff>500063</xdr:colOff>
      <xdr:row>2</xdr:row>
      <xdr:rowOff>297657</xdr:rowOff>
    </xdr:to>
    <xdr:sp macro="[0]!MenuLinks.Menu" textlink="">
      <xdr:nvSpPr>
        <xdr:cNvPr id="2" name="Rounded Rectangle 1">
          <a:extLst>
            <a:ext uri="{FF2B5EF4-FFF2-40B4-BE49-F238E27FC236}">
              <a16:creationId xmlns:a16="http://schemas.microsoft.com/office/drawing/2014/main" id="{74100C86-1D89-497F-A0C0-48F595EB97B9}"/>
            </a:ext>
          </a:extLst>
        </xdr:cNvPr>
        <xdr:cNvSpPr/>
      </xdr:nvSpPr>
      <xdr:spPr>
        <a:xfrm>
          <a:off x="5859463" y="138907"/>
          <a:ext cx="1111250" cy="52705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solidFill>
                <a:schemeClr val="tx1"/>
              </a:solidFill>
              <a:latin typeface="Garamond" panose="02020404030301010803" pitchFamily="18" charset="0"/>
            </a:rPr>
            <a:t>MENU</a:t>
          </a:r>
        </a:p>
      </xdr:txBody>
    </xdr:sp>
    <xdr:clientData/>
  </xdr:twoCellAnchor>
  <xdr:twoCellAnchor>
    <xdr:from>
      <xdr:col>26</xdr:col>
      <xdr:colOff>150813</xdr:colOff>
      <xdr:row>5</xdr:row>
      <xdr:rowOff>95251</xdr:rowOff>
    </xdr:from>
    <xdr:to>
      <xdr:col>31</xdr:col>
      <xdr:colOff>396875</xdr:colOff>
      <xdr:row>10</xdr:row>
      <xdr:rowOff>119062</xdr:rowOff>
    </xdr:to>
    <xdr:sp macro="" textlink="">
      <xdr:nvSpPr>
        <xdr:cNvPr id="3" name="Oval Callout 2">
          <a:extLst>
            <a:ext uri="{FF2B5EF4-FFF2-40B4-BE49-F238E27FC236}">
              <a16:creationId xmlns:a16="http://schemas.microsoft.com/office/drawing/2014/main" id="{91B6F358-03AB-437D-A82F-BCD974E5D4CD}"/>
            </a:ext>
          </a:extLst>
        </xdr:cNvPr>
        <xdr:cNvSpPr/>
      </xdr:nvSpPr>
      <xdr:spPr>
        <a:xfrm>
          <a:off x="14444663" y="1200151"/>
          <a:ext cx="3294062" cy="1293811"/>
        </a:xfrm>
        <a:prstGeom prst="wedgeEllipseCallout">
          <a:avLst>
            <a:gd name="adj1" fmla="val -55536"/>
            <a:gd name="adj2" fmla="val -21646"/>
          </a:avLst>
        </a:prstGeom>
        <a:solidFill>
          <a:schemeClr val="accent1">
            <a:lumMod val="20000"/>
            <a:lumOff val="80000"/>
          </a:schemeClr>
        </a:solidFill>
        <a:ln>
          <a:solidFill>
            <a:schemeClr val="accent1">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tx1"/>
              </a:solidFill>
              <a:latin typeface="Garamond" panose="02020404030301010803" pitchFamily="18" charset="0"/>
            </a:rPr>
            <a:t>MG : </a:t>
          </a:r>
          <a:r>
            <a:rPr lang="en-GB" sz="1100" i="1">
              <a:solidFill>
                <a:schemeClr val="tx1"/>
              </a:solidFill>
              <a:latin typeface="Garamond" panose="02020404030301010803" pitchFamily="18" charset="0"/>
            </a:rPr>
            <a:t>Marqued Goals</a:t>
          </a:r>
          <a:r>
            <a:rPr lang="en-GB" sz="1100">
              <a:solidFill>
                <a:schemeClr val="tx1"/>
              </a:solidFill>
              <a:latin typeface="Garamond" panose="02020404030301010803" pitchFamily="18" charset="0"/>
            </a:rPr>
            <a:t>, Golos Marcados</a:t>
          </a:r>
        </a:p>
        <a:p>
          <a:pPr algn="l"/>
          <a:r>
            <a:rPr lang="en-GB" sz="1100">
              <a:solidFill>
                <a:schemeClr val="tx1"/>
              </a:solidFill>
              <a:latin typeface="Garamond" panose="02020404030301010803" pitchFamily="18" charset="0"/>
            </a:rPr>
            <a:t>SG : </a:t>
          </a:r>
          <a:r>
            <a:rPr lang="en-GB" sz="1100" i="1">
              <a:solidFill>
                <a:schemeClr val="tx1"/>
              </a:solidFill>
              <a:latin typeface="Garamond" panose="02020404030301010803" pitchFamily="18" charset="0"/>
            </a:rPr>
            <a:t>Suffered Goals</a:t>
          </a:r>
          <a:r>
            <a:rPr lang="en-GB" sz="1100">
              <a:solidFill>
                <a:schemeClr val="tx1"/>
              </a:solidFill>
              <a:latin typeface="Garamond" panose="02020404030301010803" pitchFamily="18" charset="0"/>
            </a:rPr>
            <a:t>, Golos Sufridos</a:t>
          </a:r>
        </a:p>
        <a:p>
          <a:pPr algn="l"/>
          <a:r>
            <a:rPr lang="en-GB" sz="1100">
              <a:solidFill>
                <a:schemeClr val="tx1"/>
              </a:solidFill>
              <a:latin typeface="Garamond" panose="02020404030301010803" pitchFamily="18" charset="0"/>
            </a:rPr>
            <a:t>GD : </a:t>
          </a:r>
          <a:r>
            <a:rPr lang="en-GB" sz="1100" i="1">
              <a:solidFill>
                <a:schemeClr val="tx1"/>
              </a:solidFill>
              <a:latin typeface="Garamond" panose="02020404030301010803" pitchFamily="18" charset="0"/>
            </a:rPr>
            <a:t>Goal Diference</a:t>
          </a:r>
          <a:r>
            <a:rPr lang="en-GB" sz="1100">
              <a:solidFill>
                <a:schemeClr val="tx1"/>
              </a:solidFill>
              <a:latin typeface="Garamond" panose="02020404030301010803" pitchFamily="18" charset="0"/>
            </a:rPr>
            <a:t>, Diferença de golos</a:t>
          </a:r>
        </a:p>
        <a:p>
          <a:pPr algn="l"/>
          <a:r>
            <a:rPr lang="en-GB" sz="1100">
              <a:solidFill>
                <a:schemeClr val="tx1"/>
              </a:solidFill>
              <a:latin typeface="Garamond" panose="02020404030301010803" pitchFamily="18" charset="0"/>
            </a:rPr>
            <a:t>games : Jogos</a:t>
          </a:r>
        </a:p>
        <a:p>
          <a:pPr algn="l"/>
          <a:r>
            <a:rPr lang="en-GB" sz="1100">
              <a:solidFill>
                <a:schemeClr val="tx1"/>
              </a:solidFill>
              <a:latin typeface="Garamond" panose="02020404030301010803" pitchFamily="18" charset="0"/>
            </a:rPr>
            <a:t>Pts : </a:t>
          </a:r>
          <a:r>
            <a:rPr lang="en-GB" sz="1100" i="1">
              <a:solidFill>
                <a:schemeClr val="tx1"/>
              </a:solidFill>
              <a:latin typeface="Garamond" panose="02020404030301010803" pitchFamily="18" charset="0"/>
            </a:rPr>
            <a:t>Points</a:t>
          </a:r>
          <a:r>
            <a:rPr lang="en-GB" sz="1100">
              <a:solidFill>
                <a:schemeClr val="tx1"/>
              </a:solidFill>
              <a:latin typeface="Garamond" panose="02020404030301010803" pitchFamily="18" charset="0"/>
            </a:rPr>
            <a:t>, Pontos</a:t>
          </a:r>
        </a:p>
      </xdr:txBody>
    </xdr:sp>
    <xdr:clientData/>
  </xdr:twoCellAnchor>
  <xdr:twoCellAnchor>
    <xdr:from>
      <xdr:col>14</xdr:col>
      <xdr:colOff>468312</xdr:colOff>
      <xdr:row>0</xdr:row>
      <xdr:rowOff>142875</xdr:rowOff>
    </xdr:from>
    <xdr:to>
      <xdr:col>16</xdr:col>
      <xdr:colOff>174625</xdr:colOff>
      <xdr:row>2</xdr:row>
      <xdr:rowOff>293688</xdr:rowOff>
    </xdr:to>
    <xdr:sp macro="[0]!Score.Score" textlink="">
      <xdr:nvSpPr>
        <xdr:cNvPr id="4" name="Rounded Rectangle 3">
          <a:extLst>
            <a:ext uri="{FF2B5EF4-FFF2-40B4-BE49-F238E27FC236}">
              <a16:creationId xmlns:a16="http://schemas.microsoft.com/office/drawing/2014/main" id="{66012C2B-7E24-4814-BFD4-D6EE01A5C8B1}"/>
            </a:ext>
          </a:extLst>
        </xdr:cNvPr>
        <xdr:cNvSpPr/>
      </xdr:nvSpPr>
      <xdr:spPr>
        <a:xfrm>
          <a:off x="7548562" y="142875"/>
          <a:ext cx="925513" cy="519113"/>
        </a:xfrm>
        <a:prstGeom prst="roundRect">
          <a:avLst/>
        </a:prstGeom>
        <a:solidFill>
          <a:schemeClr val="accent4">
            <a:lumMod val="20000"/>
            <a:lumOff val="80000"/>
          </a:schemeClr>
        </a:solidFill>
        <a:ln>
          <a:solidFill>
            <a:schemeClr val="accent4">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000" b="1">
              <a:solidFill>
                <a:sysClr val="windowText" lastClr="000000"/>
              </a:solidFill>
              <a:latin typeface="Garamond" panose="02020404030301010803" pitchFamily="18" charset="0"/>
            </a:rPr>
            <a:t>Score</a:t>
          </a:r>
        </a:p>
      </xdr:txBody>
    </xdr:sp>
    <xdr:clientData/>
  </xdr:twoCellAnchor>
  <xdr:twoCellAnchor>
    <xdr:from>
      <xdr:col>17</xdr:col>
      <xdr:colOff>417287</xdr:colOff>
      <xdr:row>1</xdr:row>
      <xdr:rowOff>45356</xdr:rowOff>
    </xdr:from>
    <xdr:to>
      <xdr:col>20</xdr:col>
      <xdr:colOff>217715</xdr:colOff>
      <xdr:row>2</xdr:row>
      <xdr:rowOff>247196</xdr:rowOff>
    </xdr:to>
    <xdr:sp macro="[0]!Update" textlink="">
      <xdr:nvSpPr>
        <xdr:cNvPr id="5" name="Donut 4">
          <a:extLst>
            <a:ext uri="{FF2B5EF4-FFF2-40B4-BE49-F238E27FC236}">
              <a16:creationId xmlns:a16="http://schemas.microsoft.com/office/drawing/2014/main" id="{BE79387F-AD01-4FCD-BEA0-86DDF6C16CE6}"/>
            </a:ext>
          </a:extLst>
        </xdr:cNvPr>
        <xdr:cNvSpPr/>
      </xdr:nvSpPr>
      <xdr:spPr>
        <a:xfrm>
          <a:off x="9326337" y="229506"/>
          <a:ext cx="1997528" cy="385990"/>
        </a:xfrm>
        <a:prstGeom prst="donut">
          <a:avLst>
            <a:gd name="adj" fmla="val 6707"/>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solidFill>
                <a:schemeClr val="tx1"/>
              </a:solidFill>
              <a:latin typeface="Garamond" panose="02020404030301010803" pitchFamily="18" charset="0"/>
            </a:rPr>
            <a:t>UPDATE group</a:t>
          </a:r>
          <a:endParaRPr lang="en-GB" sz="1100" b="1">
            <a:solidFill>
              <a:schemeClr val="tx1"/>
            </a:solidFill>
            <a:latin typeface="Garamond" panose="02020404030301010803" pitchFamily="18"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214313</xdr:colOff>
      <xdr:row>0</xdr:row>
      <xdr:rowOff>138907</xdr:rowOff>
    </xdr:from>
    <xdr:to>
      <xdr:col>13</xdr:col>
      <xdr:colOff>500063</xdr:colOff>
      <xdr:row>2</xdr:row>
      <xdr:rowOff>297657</xdr:rowOff>
    </xdr:to>
    <xdr:sp macro="[0]!MenuLinks.Menu" textlink="">
      <xdr:nvSpPr>
        <xdr:cNvPr id="2" name="Rounded Rectangle 1">
          <a:extLst>
            <a:ext uri="{FF2B5EF4-FFF2-40B4-BE49-F238E27FC236}">
              <a16:creationId xmlns:a16="http://schemas.microsoft.com/office/drawing/2014/main" id="{886E3B6C-D64C-4BB9-9DE9-D5EEA0B29D8C}"/>
            </a:ext>
          </a:extLst>
        </xdr:cNvPr>
        <xdr:cNvSpPr/>
      </xdr:nvSpPr>
      <xdr:spPr>
        <a:xfrm>
          <a:off x="5859463" y="138907"/>
          <a:ext cx="1111250" cy="52705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solidFill>
                <a:schemeClr val="tx1"/>
              </a:solidFill>
              <a:latin typeface="Garamond" panose="02020404030301010803" pitchFamily="18" charset="0"/>
            </a:rPr>
            <a:t>MENU</a:t>
          </a:r>
        </a:p>
      </xdr:txBody>
    </xdr:sp>
    <xdr:clientData/>
  </xdr:twoCellAnchor>
  <xdr:twoCellAnchor>
    <xdr:from>
      <xdr:col>26</xdr:col>
      <xdr:colOff>150813</xdr:colOff>
      <xdr:row>5</xdr:row>
      <xdr:rowOff>95251</xdr:rowOff>
    </xdr:from>
    <xdr:to>
      <xdr:col>31</xdr:col>
      <xdr:colOff>396875</xdr:colOff>
      <xdr:row>10</xdr:row>
      <xdr:rowOff>119062</xdr:rowOff>
    </xdr:to>
    <xdr:sp macro="" textlink="">
      <xdr:nvSpPr>
        <xdr:cNvPr id="3" name="Oval Callout 2">
          <a:extLst>
            <a:ext uri="{FF2B5EF4-FFF2-40B4-BE49-F238E27FC236}">
              <a16:creationId xmlns:a16="http://schemas.microsoft.com/office/drawing/2014/main" id="{CA0F911F-4748-4A46-A83A-338675D98E1D}"/>
            </a:ext>
          </a:extLst>
        </xdr:cNvPr>
        <xdr:cNvSpPr/>
      </xdr:nvSpPr>
      <xdr:spPr>
        <a:xfrm>
          <a:off x="14444663" y="1200151"/>
          <a:ext cx="3294062" cy="1293811"/>
        </a:xfrm>
        <a:prstGeom prst="wedgeEllipseCallout">
          <a:avLst>
            <a:gd name="adj1" fmla="val -55536"/>
            <a:gd name="adj2" fmla="val -21646"/>
          </a:avLst>
        </a:prstGeom>
        <a:solidFill>
          <a:schemeClr val="accent1">
            <a:lumMod val="20000"/>
            <a:lumOff val="80000"/>
          </a:schemeClr>
        </a:solidFill>
        <a:ln>
          <a:solidFill>
            <a:schemeClr val="accent1">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tx1"/>
              </a:solidFill>
              <a:latin typeface="Garamond" panose="02020404030301010803" pitchFamily="18" charset="0"/>
            </a:rPr>
            <a:t>MG : </a:t>
          </a:r>
          <a:r>
            <a:rPr lang="en-GB" sz="1100" i="1">
              <a:solidFill>
                <a:schemeClr val="tx1"/>
              </a:solidFill>
              <a:latin typeface="Garamond" panose="02020404030301010803" pitchFamily="18" charset="0"/>
            </a:rPr>
            <a:t>Marqued Goals</a:t>
          </a:r>
          <a:r>
            <a:rPr lang="en-GB" sz="1100">
              <a:solidFill>
                <a:schemeClr val="tx1"/>
              </a:solidFill>
              <a:latin typeface="Garamond" panose="02020404030301010803" pitchFamily="18" charset="0"/>
            </a:rPr>
            <a:t>, Golos Marcados</a:t>
          </a:r>
        </a:p>
        <a:p>
          <a:pPr algn="l"/>
          <a:r>
            <a:rPr lang="en-GB" sz="1100">
              <a:solidFill>
                <a:schemeClr val="tx1"/>
              </a:solidFill>
              <a:latin typeface="Garamond" panose="02020404030301010803" pitchFamily="18" charset="0"/>
            </a:rPr>
            <a:t>SG : </a:t>
          </a:r>
          <a:r>
            <a:rPr lang="en-GB" sz="1100" i="1">
              <a:solidFill>
                <a:schemeClr val="tx1"/>
              </a:solidFill>
              <a:latin typeface="Garamond" panose="02020404030301010803" pitchFamily="18" charset="0"/>
            </a:rPr>
            <a:t>Suffered Goals</a:t>
          </a:r>
          <a:r>
            <a:rPr lang="en-GB" sz="1100">
              <a:solidFill>
                <a:schemeClr val="tx1"/>
              </a:solidFill>
              <a:latin typeface="Garamond" panose="02020404030301010803" pitchFamily="18" charset="0"/>
            </a:rPr>
            <a:t>, Golos Sufridos</a:t>
          </a:r>
        </a:p>
        <a:p>
          <a:pPr algn="l"/>
          <a:r>
            <a:rPr lang="en-GB" sz="1100">
              <a:solidFill>
                <a:schemeClr val="tx1"/>
              </a:solidFill>
              <a:latin typeface="Garamond" panose="02020404030301010803" pitchFamily="18" charset="0"/>
            </a:rPr>
            <a:t>GD : </a:t>
          </a:r>
          <a:r>
            <a:rPr lang="en-GB" sz="1100" i="1">
              <a:solidFill>
                <a:schemeClr val="tx1"/>
              </a:solidFill>
              <a:latin typeface="Garamond" panose="02020404030301010803" pitchFamily="18" charset="0"/>
            </a:rPr>
            <a:t>Goal Diference</a:t>
          </a:r>
          <a:r>
            <a:rPr lang="en-GB" sz="1100">
              <a:solidFill>
                <a:schemeClr val="tx1"/>
              </a:solidFill>
              <a:latin typeface="Garamond" panose="02020404030301010803" pitchFamily="18" charset="0"/>
            </a:rPr>
            <a:t>, Diferença de golos</a:t>
          </a:r>
        </a:p>
        <a:p>
          <a:pPr algn="l"/>
          <a:r>
            <a:rPr lang="en-GB" sz="1100">
              <a:solidFill>
                <a:schemeClr val="tx1"/>
              </a:solidFill>
              <a:latin typeface="Garamond" panose="02020404030301010803" pitchFamily="18" charset="0"/>
            </a:rPr>
            <a:t>games : Jogos</a:t>
          </a:r>
        </a:p>
        <a:p>
          <a:pPr algn="l"/>
          <a:r>
            <a:rPr lang="en-GB" sz="1100">
              <a:solidFill>
                <a:schemeClr val="tx1"/>
              </a:solidFill>
              <a:latin typeface="Garamond" panose="02020404030301010803" pitchFamily="18" charset="0"/>
            </a:rPr>
            <a:t>Pts : </a:t>
          </a:r>
          <a:r>
            <a:rPr lang="en-GB" sz="1100" i="1">
              <a:solidFill>
                <a:schemeClr val="tx1"/>
              </a:solidFill>
              <a:latin typeface="Garamond" panose="02020404030301010803" pitchFamily="18" charset="0"/>
            </a:rPr>
            <a:t>Points</a:t>
          </a:r>
          <a:r>
            <a:rPr lang="en-GB" sz="1100">
              <a:solidFill>
                <a:schemeClr val="tx1"/>
              </a:solidFill>
              <a:latin typeface="Garamond" panose="02020404030301010803" pitchFamily="18" charset="0"/>
            </a:rPr>
            <a:t>, Pontos</a:t>
          </a:r>
        </a:p>
      </xdr:txBody>
    </xdr:sp>
    <xdr:clientData/>
  </xdr:twoCellAnchor>
  <xdr:twoCellAnchor>
    <xdr:from>
      <xdr:col>14</xdr:col>
      <xdr:colOff>468312</xdr:colOff>
      <xdr:row>0</xdr:row>
      <xdr:rowOff>142875</xdr:rowOff>
    </xdr:from>
    <xdr:to>
      <xdr:col>16</xdr:col>
      <xdr:colOff>174625</xdr:colOff>
      <xdr:row>2</xdr:row>
      <xdr:rowOff>293688</xdr:rowOff>
    </xdr:to>
    <xdr:sp macro="[0]!Score.Score" textlink="">
      <xdr:nvSpPr>
        <xdr:cNvPr id="4" name="Rounded Rectangle 3">
          <a:extLst>
            <a:ext uri="{FF2B5EF4-FFF2-40B4-BE49-F238E27FC236}">
              <a16:creationId xmlns:a16="http://schemas.microsoft.com/office/drawing/2014/main" id="{0977733A-9933-4B0C-88C2-B800A073F99A}"/>
            </a:ext>
          </a:extLst>
        </xdr:cNvPr>
        <xdr:cNvSpPr/>
      </xdr:nvSpPr>
      <xdr:spPr>
        <a:xfrm>
          <a:off x="7548562" y="142875"/>
          <a:ext cx="925513" cy="519113"/>
        </a:xfrm>
        <a:prstGeom prst="roundRect">
          <a:avLst/>
        </a:prstGeom>
        <a:solidFill>
          <a:schemeClr val="accent4">
            <a:lumMod val="20000"/>
            <a:lumOff val="80000"/>
          </a:schemeClr>
        </a:solidFill>
        <a:ln>
          <a:solidFill>
            <a:schemeClr val="accent4">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000" b="1">
              <a:solidFill>
                <a:sysClr val="windowText" lastClr="000000"/>
              </a:solidFill>
              <a:latin typeface="Garamond" panose="02020404030301010803" pitchFamily="18" charset="0"/>
            </a:rPr>
            <a:t>Score</a:t>
          </a:r>
        </a:p>
      </xdr:txBody>
    </xdr:sp>
    <xdr:clientData/>
  </xdr:twoCellAnchor>
  <xdr:twoCellAnchor>
    <xdr:from>
      <xdr:col>17</xdr:col>
      <xdr:colOff>417287</xdr:colOff>
      <xdr:row>1</xdr:row>
      <xdr:rowOff>45356</xdr:rowOff>
    </xdr:from>
    <xdr:to>
      <xdr:col>20</xdr:col>
      <xdr:colOff>217715</xdr:colOff>
      <xdr:row>2</xdr:row>
      <xdr:rowOff>247196</xdr:rowOff>
    </xdr:to>
    <xdr:sp macro="[0]!Update" textlink="">
      <xdr:nvSpPr>
        <xdr:cNvPr id="5" name="Donut 4">
          <a:extLst>
            <a:ext uri="{FF2B5EF4-FFF2-40B4-BE49-F238E27FC236}">
              <a16:creationId xmlns:a16="http://schemas.microsoft.com/office/drawing/2014/main" id="{AD109227-795A-4D05-ACC4-04EADF1A776F}"/>
            </a:ext>
          </a:extLst>
        </xdr:cNvPr>
        <xdr:cNvSpPr/>
      </xdr:nvSpPr>
      <xdr:spPr>
        <a:xfrm>
          <a:off x="9326337" y="229506"/>
          <a:ext cx="1997528" cy="385990"/>
        </a:xfrm>
        <a:prstGeom prst="donut">
          <a:avLst>
            <a:gd name="adj" fmla="val 6707"/>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solidFill>
                <a:schemeClr val="tx1"/>
              </a:solidFill>
              <a:latin typeface="Garamond" panose="02020404030301010803" pitchFamily="18" charset="0"/>
            </a:rPr>
            <a:t>UPDATE group</a:t>
          </a:r>
          <a:endParaRPr lang="en-GB" sz="1100" b="1">
            <a:solidFill>
              <a:schemeClr val="tx1"/>
            </a:solidFill>
            <a:latin typeface="Garamond" panose="02020404030301010803"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214313</xdr:colOff>
      <xdr:row>0</xdr:row>
      <xdr:rowOff>138907</xdr:rowOff>
    </xdr:from>
    <xdr:to>
      <xdr:col>13</xdr:col>
      <xdr:colOff>500063</xdr:colOff>
      <xdr:row>2</xdr:row>
      <xdr:rowOff>297657</xdr:rowOff>
    </xdr:to>
    <xdr:sp macro="[0]!MenuLinks.Menu" textlink="">
      <xdr:nvSpPr>
        <xdr:cNvPr id="2" name="Rounded Rectangle 1">
          <a:extLst>
            <a:ext uri="{FF2B5EF4-FFF2-40B4-BE49-F238E27FC236}">
              <a16:creationId xmlns:a16="http://schemas.microsoft.com/office/drawing/2014/main" id="{00000000-0008-0000-0100-000002000000}"/>
            </a:ext>
          </a:extLst>
        </xdr:cNvPr>
        <xdr:cNvSpPr/>
      </xdr:nvSpPr>
      <xdr:spPr>
        <a:xfrm>
          <a:off x="5853113" y="138907"/>
          <a:ext cx="1111250" cy="52705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solidFill>
                <a:schemeClr val="tx1"/>
              </a:solidFill>
              <a:latin typeface="Garamond" panose="02020404030301010803" pitchFamily="18" charset="0"/>
            </a:rPr>
            <a:t>MENU</a:t>
          </a:r>
        </a:p>
      </xdr:txBody>
    </xdr:sp>
    <xdr:clientData/>
  </xdr:twoCellAnchor>
  <xdr:twoCellAnchor>
    <xdr:from>
      <xdr:col>26</xdr:col>
      <xdr:colOff>150813</xdr:colOff>
      <xdr:row>5</xdr:row>
      <xdr:rowOff>95251</xdr:rowOff>
    </xdr:from>
    <xdr:to>
      <xdr:col>31</xdr:col>
      <xdr:colOff>396875</xdr:colOff>
      <xdr:row>10</xdr:row>
      <xdr:rowOff>119062</xdr:rowOff>
    </xdr:to>
    <xdr:sp macro="" textlink="">
      <xdr:nvSpPr>
        <xdr:cNvPr id="3" name="Oval Callout 2">
          <a:extLst>
            <a:ext uri="{FF2B5EF4-FFF2-40B4-BE49-F238E27FC236}">
              <a16:creationId xmlns:a16="http://schemas.microsoft.com/office/drawing/2014/main" id="{00000000-0008-0000-0100-000003000000}"/>
            </a:ext>
          </a:extLst>
        </xdr:cNvPr>
        <xdr:cNvSpPr/>
      </xdr:nvSpPr>
      <xdr:spPr>
        <a:xfrm>
          <a:off x="14438313" y="1136651"/>
          <a:ext cx="3294062" cy="1293811"/>
        </a:xfrm>
        <a:prstGeom prst="wedgeEllipseCallout">
          <a:avLst>
            <a:gd name="adj1" fmla="val -55536"/>
            <a:gd name="adj2" fmla="val -21646"/>
          </a:avLst>
        </a:prstGeom>
        <a:solidFill>
          <a:schemeClr val="accent1">
            <a:lumMod val="20000"/>
            <a:lumOff val="80000"/>
          </a:schemeClr>
        </a:solidFill>
        <a:ln>
          <a:solidFill>
            <a:schemeClr val="accent1">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tx1"/>
              </a:solidFill>
              <a:latin typeface="Garamond" panose="02020404030301010803" pitchFamily="18" charset="0"/>
            </a:rPr>
            <a:t>MG : </a:t>
          </a:r>
          <a:r>
            <a:rPr lang="en-GB" sz="1100" i="1">
              <a:solidFill>
                <a:schemeClr val="tx1"/>
              </a:solidFill>
              <a:latin typeface="Garamond" panose="02020404030301010803" pitchFamily="18" charset="0"/>
            </a:rPr>
            <a:t>Marqued Goals</a:t>
          </a:r>
          <a:r>
            <a:rPr lang="en-GB" sz="1100">
              <a:solidFill>
                <a:schemeClr val="tx1"/>
              </a:solidFill>
              <a:latin typeface="Garamond" panose="02020404030301010803" pitchFamily="18" charset="0"/>
            </a:rPr>
            <a:t>, Golos Marcados</a:t>
          </a:r>
        </a:p>
        <a:p>
          <a:pPr algn="l"/>
          <a:r>
            <a:rPr lang="en-GB" sz="1100">
              <a:solidFill>
                <a:schemeClr val="tx1"/>
              </a:solidFill>
              <a:latin typeface="Garamond" panose="02020404030301010803" pitchFamily="18" charset="0"/>
            </a:rPr>
            <a:t>SG : </a:t>
          </a:r>
          <a:r>
            <a:rPr lang="en-GB" sz="1100" i="1">
              <a:solidFill>
                <a:schemeClr val="tx1"/>
              </a:solidFill>
              <a:latin typeface="Garamond" panose="02020404030301010803" pitchFamily="18" charset="0"/>
            </a:rPr>
            <a:t>Suffered Goals</a:t>
          </a:r>
          <a:r>
            <a:rPr lang="en-GB" sz="1100">
              <a:solidFill>
                <a:schemeClr val="tx1"/>
              </a:solidFill>
              <a:latin typeface="Garamond" panose="02020404030301010803" pitchFamily="18" charset="0"/>
            </a:rPr>
            <a:t>, Golos Sufridos</a:t>
          </a:r>
        </a:p>
        <a:p>
          <a:pPr algn="l"/>
          <a:r>
            <a:rPr lang="en-GB" sz="1100">
              <a:solidFill>
                <a:schemeClr val="tx1"/>
              </a:solidFill>
              <a:latin typeface="Garamond" panose="02020404030301010803" pitchFamily="18" charset="0"/>
            </a:rPr>
            <a:t>GD : </a:t>
          </a:r>
          <a:r>
            <a:rPr lang="en-GB" sz="1100" i="1">
              <a:solidFill>
                <a:schemeClr val="tx1"/>
              </a:solidFill>
              <a:latin typeface="Garamond" panose="02020404030301010803" pitchFamily="18" charset="0"/>
            </a:rPr>
            <a:t>Goal Diference</a:t>
          </a:r>
          <a:r>
            <a:rPr lang="en-GB" sz="1100">
              <a:solidFill>
                <a:schemeClr val="tx1"/>
              </a:solidFill>
              <a:latin typeface="Garamond" panose="02020404030301010803" pitchFamily="18" charset="0"/>
            </a:rPr>
            <a:t>, Diferença de golos</a:t>
          </a:r>
        </a:p>
        <a:p>
          <a:pPr algn="l"/>
          <a:r>
            <a:rPr lang="en-GB" sz="1100">
              <a:solidFill>
                <a:schemeClr val="tx1"/>
              </a:solidFill>
              <a:latin typeface="Garamond" panose="02020404030301010803" pitchFamily="18" charset="0"/>
            </a:rPr>
            <a:t>games : Jogos</a:t>
          </a:r>
        </a:p>
        <a:p>
          <a:pPr algn="l"/>
          <a:r>
            <a:rPr lang="en-GB" sz="1100">
              <a:solidFill>
                <a:schemeClr val="tx1"/>
              </a:solidFill>
              <a:latin typeface="Garamond" panose="02020404030301010803" pitchFamily="18" charset="0"/>
            </a:rPr>
            <a:t>Pts : </a:t>
          </a:r>
          <a:r>
            <a:rPr lang="en-GB" sz="1100" i="1">
              <a:solidFill>
                <a:schemeClr val="tx1"/>
              </a:solidFill>
              <a:latin typeface="Garamond" panose="02020404030301010803" pitchFamily="18" charset="0"/>
            </a:rPr>
            <a:t>Points</a:t>
          </a:r>
          <a:r>
            <a:rPr lang="en-GB" sz="1100">
              <a:solidFill>
                <a:schemeClr val="tx1"/>
              </a:solidFill>
              <a:latin typeface="Garamond" panose="02020404030301010803" pitchFamily="18" charset="0"/>
            </a:rPr>
            <a:t>, Pontos</a:t>
          </a:r>
        </a:p>
      </xdr:txBody>
    </xdr:sp>
    <xdr:clientData/>
  </xdr:twoCellAnchor>
  <xdr:twoCellAnchor>
    <xdr:from>
      <xdr:col>17</xdr:col>
      <xdr:colOff>417287</xdr:colOff>
      <xdr:row>1</xdr:row>
      <xdr:rowOff>45356</xdr:rowOff>
    </xdr:from>
    <xdr:to>
      <xdr:col>20</xdr:col>
      <xdr:colOff>217715</xdr:colOff>
      <xdr:row>2</xdr:row>
      <xdr:rowOff>247196</xdr:rowOff>
    </xdr:to>
    <xdr:sp macro="[0]!Update" textlink="">
      <xdr:nvSpPr>
        <xdr:cNvPr id="5" name="Donut 4">
          <a:extLst>
            <a:ext uri="{FF2B5EF4-FFF2-40B4-BE49-F238E27FC236}">
              <a16:creationId xmlns:a16="http://schemas.microsoft.com/office/drawing/2014/main" id="{00000000-0008-0000-0100-000005000000}"/>
            </a:ext>
          </a:extLst>
        </xdr:cNvPr>
        <xdr:cNvSpPr/>
      </xdr:nvSpPr>
      <xdr:spPr>
        <a:xfrm>
          <a:off x="9319987" y="229506"/>
          <a:ext cx="1997528" cy="385990"/>
        </a:xfrm>
        <a:prstGeom prst="donut">
          <a:avLst>
            <a:gd name="adj" fmla="val 6707"/>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solidFill>
                <a:schemeClr val="tx1"/>
              </a:solidFill>
              <a:latin typeface="Garamond" panose="02020404030301010803" pitchFamily="18" charset="0"/>
            </a:rPr>
            <a:t>UPDATE group</a:t>
          </a:r>
          <a:endParaRPr lang="en-GB" sz="1100" b="1">
            <a:solidFill>
              <a:schemeClr val="tx1"/>
            </a:solidFill>
            <a:latin typeface="Garamond" panose="02020404030301010803"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76200</xdr:colOff>
      <xdr:row>0</xdr:row>
      <xdr:rowOff>57150</xdr:rowOff>
    </xdr:from>
    <xdr:to>
      <xdr:col>1</xdr:col>
      <xdr:colOff>577850</xdr:colOff>
      <xdr:row>3</xdr:row>
      <xdr:rowOff>28575</xdr:rowOff>
    </xdr:to>
    <xdr:sp macro="[0]!MenuLinks.Menu" textlink="">
      <xdr:nvSpPr>
        <xdr:cNvPr id="2" name="Rounded Rectangle 1">
          <a:extLst>
            <a:ext uri="{FF2B5EF4-FFF2-40B4-BE49-F238E27FC236}">
              <a16:creationId xmlns:a16="http://schemas.microsoft.com/office/drawing/2014/main" id="{00000000-0008-0000-0300-000002000000}"/>
            </a:ext>
          </a:extLst>
        </xdr:cNvPr>
        <xdr:cNvSpPr/>
      </xdr:nvSpPr>
      <xdr:spPr>
        <a:xfrm>
          <a:off x="76200" y="57150"/>
          <a:ext cx="1111250" cy="530225"/>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solidFill>
                <a:schemeClr val="tx1"/>
              </a:solidFill>
              <a:latin typeface="Garamond" panose="02020404030301010803" pitchFamily="18" charset="0"/>
            </a:rPr>
            <a:t>MENU</a:t>
          </a:r>
        </a:p>
      </xdr:txBody>
    </xdr:sp>
    <xdr:clientData/>
  </xdr:twoCellAnchor>
  <xdr:twoCellAnchor>
    <xdr:from>
      <xdr:col>10</xdr:col>
      <xdr:colOff>408214</xdr:colOff>
      <xdr:row>4</xdr:row>
      <xdr:rowOff>116115</xdr:rowOff>
    </xdr:from>
    <xdr:to>
      <xdr:col>21</xdr:col>
      <xdr:colOff>362857</xdr:colOff>
      <xdr:row>18</xdr:row>
      <xdr:rowOff>45357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285750</xdr:colOff>
      <xdr:row>0</xdr:row>
      <xdr:rowOff>177800</xdr:rowOff>
    </xdr:from>
    <xdr:to>
      <xdr:col>2</xdr:col>
      <xdr:colOff>177800</xdr:colOff>
      <xdr:row>3</xdr:row>
      <xdr:rowOff>149225</xdr:rowOff>
    </xdr:to>
    <xdr:sp macro="[0]!MenuLinks.Menu" textlink="">
      <xdr:nvSpPr>
        <xdr:cNvPr id="2" name="Rounded Rectangle 1">
          <a:extLst>
            <a:ext uri="{FF2B5EF4-FFF2-40B4-BE49-F238E27FC236}">
              <a16:creationId xmlns:a16="http://schemas.microsoft.com/office/drawing/2014/main" id="{00000000-0008-0000-0400-000002000000}"/>
            </a:ext>
          </a:extLst>
        </xdr:cNvPr>
        <xdr:cNvSpPr/>
      </xdr:nvSpPr>
      <xdr:spPr>
        <a:xfrm>
          <a:off x="285750" y="177800"/>
          <a:ext cx="1111250" cy="523875"/>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solidFill>
                <a:schemeClr val="tx1"/>
              </a:solidFill>
              <a:latin typeface="Garamond" panose="02020404030301010803" pitchFamily="18" charset="0"/>
            </a:rPr>
            <a:t>MENU</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214313</xdr:colOff>
      <xdr:row>0</xdr:row>
      <xdr:rowOff>138907</xdr:rowOff>
    </xdr:from>
    <xdr:to>
      <xdr:col>13</xdr:col>
      <xdr:colOff>500063</xdr:colOff>
      <xdr:row>2</xdr:row>
      <xdr:rowOff>297657</xdr:rowOff>
    </xdr:to>
    <xdr:sp macro="[0]!MenuLinks.Menu" textlink="">
      <xdr:nvSpPr>
        <xdr:cNvPr id="2" name="Rounded Rectangle 1">
          <a:extLst>
            <a:ext uri="{FF2B5EF4-FFF2-40B4-BE49-F238E27FC236}">
              <a16:creationId xmlns:a16="http://schemas.microsoft.com/office/drawing/2014/main" id="{00000000-0008-0000-0500-000002000000}"/>
            </a:ext>
          </a:extLst>
        </xdr:cNvPr>
        <xdr:cNvSpPr/>
      </xdr:nvSpPr>
      <xdr:spPr>
        <a:xfrm>
          <a:off x="5897563" y="138907"/>
          <a:ext cx="1111250" cy="523875"/>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solidFill>
                <a:schemeClr val="tx1"/>
              </a:solidFill>
              <a:latin typeface="Garamond" panose="02020404030301010803" pitchFamily="18" charset="0"/>
            </a:rPr>
            <a:t>MENU</a:t>
          </a:r>
        </a:p>
      </xdr:txBody>
    </xdr:sp>
    <xdr:clientData/>
  </xdr:twoCellAnchor>
  <xdr:twoCellAnchor>
    <xdr:from>
      <xdr:col>26</xdr:col>
      <xdr:colOff>150813</xdr:colOff>
      <xdr:row>5</xdr:row>
      <xdr:rowOff>95251</xdr:rowOff>
    </xdr:from>
    <xdr:to>
      <xdr:col>31</xdr:col>
      <xdr:colOff>396875</xdr:colOff>
      <xdr:row>10</xdr:row>
      <xdr:rowOff>119062</xdr:rowOff>
    </xdr:to>
    <xdr:sp macro="" textlink="">
      <xdr:nvSpPr>
        <xdr:cNvPr id="3" name="Oval Callout 2">
          <a:extLst>
            <a:ext uri="{FF2B5EF4-FFF2-40B4-BE49-F238E27FC236}">
              <a16:creationId xmlns:a16="http://schemas.microsoft.com/office/drawing/2014/main" id="{00000000-0008-0000-0500-000003000000}"/>
            </a:ext>
          </a:extLst>
        </xdr:cNvPr>
        <xdr:cNvSpPr/>
      </xdr:nvSpPr>
      <xdr:spPr>
        <a:xfrm>
          <a:off x="14501813" y="928689"/>
          <a:ext cx="3302000" cy="1293811"/>
        </a:xfrm>
        <a:prstGeom prst="wedgeEllipseCallout">
          <a:avLst>
            <a:gd name="adj1" fmla="val -55536"/>
            <a:gd name="adj2" fmla="val -21646"/>
          </a:avLst>
        </a:prstGeom>
        <a:solidFill>
          <a:schemeClr val="accent1">
            <a:lumMod val="20000"/>
            <a:lumOff val="80000"/>
          </a:schemeClr>
        </a:solidFill>
        <a:ln>
          <a:solidFill>
            <a:schemeClr val="accent1">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chemeClr val="tx1"/>
              </a:solidFill>
              <a:latin typeface="Garamond" panose="02020404030301010803" pitchFamily="18" charset="0"/>
            </a:rPr>
            <a:t>MG : </a:t>
          </a:r>
          <a:r>
            <a:rPr lang="en-GB" sz="1100" i="1">
              <a:solidFill>
                <a:schemeClr val="tx1"/>
              </a:solidFill>
              <a:latin typeface="Garamond" panose="02020404030301010803" pitchFamily="18" charset="0"/>
            </a:rPr>
            <a:t>Marqued Goals</a:t>
          </a:r>
          <a:r>
            <a:rPr lang="en-GB" sz="1100">
              <a:solidFill>
                <a:schemeClr val="tx1"/>
              </a:solidFill>
              <a:latin typeface="Garamond" panose="02020404030301010803" pitchFamily="18" charset="0"/>
            </a:rPr>
            <a:t>, Golos Marcados</a:t>
          </a:r>
        </a:p>
        <a:p>
          <a:pPr algn="l"/>
          <a:r>
            <a:rPr lang="en-GB" sz="1100">
              <a:solidFill>
                <a:schemeClr val="tx1"/>
              </a:solidFill>
              <a:latin typeface="Garamond" panose="02020404030301010803" pitchFamily="18" charset="0"/>
            </a:rPr>
            <a:t>SG : </a:t>
          </a:r>
          <a:r>
            <a:rPr lang="en-GB" sz="1100" i="1">
              <a:solidFill>
                <a:schemeClr val="tx1"/>
              </a:solidFill>
              <a:latin typeface="Garamond" panose="02020404030301010803" pitchFamily="18" charset="0"/>
            </a:rPr>
            <a:t>Suffered Goals</a:t>
          </a:r>
          <a:r>
            <a:rPr lang="en-GB" sz="1100">
              <a:solidFill>
                <a:schemeClr val="tx1"/>
              </a:solidFill>
              <a:latin typeface="Garamond" panose="02020404030301010803" pitchFamily="18" charset="0"/>
            </a:rPr>
            <a:t>, Golos Sufridos</a:t>
          </a:r>
        </a:p>
        <a:p>
          <a:pPr algn="l"/>
          <a:r>
            <a:rPr lang="en-GB" sz="1100">
              <a:solidFill>
                <a:schemeClr val="tx1"/>
              </a:solidFill>
              <a:latin typeface="Garamond" panose="02020404030301010803" pitchFamily="18" charset="0"/>
            </a:rPr>
            <a:t>GD : </a:t>
          </a:r>
          <a:r>
            <a:rPr lang="en-GB" sz="1100" i="1">
              <a:solidFill>
                <a:schemeClr val="tx1"/>
              </a:solidFill>
              <a:latin typeface="Garamond" panose="02020404030301010803" pitchFamily="18" charset="0"/>
            </a:rPr>
            <a:t>Goal Diference</a:t>
          </a:r>
          <a:r>
            <a:rPr lang="en-GB" sz="1100">
              <a:solidFill>
                <a:schemeClr val="tx1"/>
              </a:solidFill>
              <a:latin typeface="Garamond" panose="02020404030301010803" pitchFamily="18" charset="0"/>
            </a:rPr>
            <a:t>, Diferença de golos</a:t>
          </a:r>
        </a:p>
        <a:p>
          <a:pPr algn="l"/>
          <a:r>
            <a:rPr lang="en-GB" sz="1100">
              <a:solidFill>
                <a:schemeClr val="tx1"/>
              </a:solidFill>
              <a:latin typeface="Garamond" panose="02020404030301010803" pitchFamily="18" charset="0"/>
            </a:rPr>
            <a:t>games : Jogos</a:t>
          </a:r>
        </a:p>
        <a:p>
          <a:pPr algn="l"/>
          <a:r>
            <a:rPr lang="en-GB" sz="1100">
              <a:solidFill>
                <a:schemeClr val="tx1"/>
              </a:solidFill>
              <a:latin typeface="Garamond" panose="02020404030301010803" pitchFamily="18" charset="0"/>
            </a:rPr>
            <a:t>Pts : </a:t>
          </a:r>
          <a:r>
            <a:rPr lang="en-GB" sz="1100" i="1">
              <a:solidFill>
                <a:schemeClr val="tx1"/>
              </a:solidFill>
              <a:latin typeface="Garamond" panose="02020404030301010803" pitchFamily="18" charset="0"/>
            </a:rPr>
            <a:t>Points</a:t>
          </a:r>
          <a:r>
            <a:rPr lang="en-GB" sz="1100">
              <a:solidFill>
                <a:schemeClr val="tx1"/>
              </a:solidFill>
              <a:latin typeface="Garamond" panose="02020404030301010803" pitchFamily="18" charset="0"/>
            </a:rPr>
            <a:t>, Pontos</a:t>
          </a:r>
        </a:p>
      </xdr:txBody>
    </xdr:sp>
    <xdr:clientData/>
  </xdr:twoCellAnchor>
  <xdr:twoCellAnchor>
    <xdr:from>
      <xdr:col>14</xdr:col>
      <xdr:colOff>468312</xdr:colOff>
      <xdr:row>0</xdr:row>
      <xdr:rowOff>142875</xdr:rowOff>
    </xdr:from>
    <xdr:to>
      <xdr:col>16</xdr:col>
      <xdr:colOff>174625</xdr:colOff>
      <xdr:row>2</xdr:row>
      <xdr:rowOff>293688</xdr:rowOff>
    </xdr:to>
    <xdr:sp macro="[0]!Score.Score" textlink="">
      <xdr:nvSpPr>
        <xdr:cNvPr id="4" name="Rounded Rectangle 3">
          <a:extLst>
            <a:ext uri="{FF2B5EF4-FFF2-40B4-BE49-F238E27FC236}">
              <a16:creationId xmlns:a16="http://schemas.microsoft.com/office/drawing/2014/main" id="{00000000-0008-0000-0500-000004000000}"/>
            </a:ext>
          </a:extLst>
        </xdr:cNvPr>
        <xdr:cNvSpPr/>
      </xdr:nvSpPr>
      <xdr:spPr>
        <a:xfrm>
          <a:off x="7588250" y="142875"/>
          <a:ext cx="928688" cy="515938"/>
        </a:xfrm>
        <a:prstGeom prst="roundRect">
          <a:avLst/>
        </a:prstGeom>
        <a:solidFill>
          <a:schemeClr val="accent4">
            <a:lumMod val="20000"/>
            <a:lumOff val="80000"/>
          </a:schemeClr>
        </a:solidFill>
        <a:ln>
          <a:solidFill>
            <a:schemeClr val="accent4">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000" b="1">
              <a:solidFill>
                <a:sysClr val="windowText" lastClr="000000"/>
              </a:solidFill>
              <a:latin typeface="Garamond" panose="02020404030301010803" pitchFamily="18" charset="0"/>
            </a:rPr>
            <a:t>Score</a:t>
          </a:r>
        </a:p>
      </xdr:txBody>
    </xdr:sp>
    <xdr:clientData/>
  </xdr:twoCellAnchor>
  <xdr:twoCellAnchor>
    <xdr:from>
      <xdr:col>17</xdr:col>
      <xdr:colOff>417287</xdr:colOff>
      <xdr:row>1</xdr:row>
      <xdr:rowOff>45356</xdr:rowOff>
    </xdr:from>
    <xdr:to>
      <xdr:col>20</xdr:col>
      <xdr:colOff>217715</xdr:colOff>
      <xdr:row>2</xdr:row>
      <xdr:rowOff>247196</xdr:rowOff>
    </xdr:to>
    <xdr:sp macro="[0]!Update" textlink="">
      <xdr:nvSpPr>
        <xdr:cNvPr id="5" name="Donut 4">
          <a:extLst>
            <a:ext uri="{FF2B5EF4-FFF2-40B4-BE49-F238E27FC236}">
              <a16:creationId xmlns:a16="http://schemas.microsoft.com/office/drawing/2014/main" id="{00000000-0008-0000-0500-000005000000}"/>
            </a:ext>
          </a:extLst>
        </xdr:cNvPr>
        <xdr:cNvSpPr/>
      </xdr:nvSpPr>
      <xdr:spPr>
        <a:xfrm>
          <a:off x="9316358" y="226785"/>
          <a:ext cx="1995714" cy="383268"/>
        </a:xfrm>
        <a:prstGeom prst="donut">
          <a:avLst>
            <a:gd name="adj" fmla="val 6707"/>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solidFill>
                <a:schemeClr val="tx1"/>
              </a:solidFill>
              <a:latin typeface="Garamond" panose="02020404030301010803" pitchFamily="18" charset="0"/>
            </a:rPr>
            <a:t>UPDATE group</a:t>
          </a:r>
          <a:endParaRPr lang="en-GB" sz="1100" b="1">
            <a:solidFill>
              <a:schemeClr val="tx1"/>
            </a:solidFill>
            <a:latin typeface="Garamond" panose="02020404030301010803"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iana/OneDrive/Bureau/Mondial%20Qatar/Mondial%20QATAR%20202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
      <sheetName val="dataMatch"/>
      <sheetName val="groupReal"/>
      <sheetName val="Prono"/>
      <sheetName val="groupProno"/>
    </sheetNames>
    <sheetDataSet>
      <sheetData sheetId="0"/>
      <sheetData sheetId="1"/>
      <sheetData sheetId="2"/>
      <sheetData sheetId="3"/>
      <sheetData sheetId="4"/>
    </sheetDataSet>
  </externalBook>
</externalLink>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B2:G50" totalsRowShown="0">
  <autoFilter ref="B2:G50" xr:uid="{00000000-0009-0000-0100-000003000000}">
    <filterColumn colId="3">
      <filters>
        <filter val="G"/>
      </filters>
    </filterColumn>
  </autoFilter>
  <tableColumns count="6">
    <tableColumn id="1" xr3:uid="{00000000-0010-0000-0000-000001000000}" name="match nº">
      <calculatedColumnFormula>B2+1</calculatedColumnFormula>
    </tableColumn>
    <tableColumn id="2" xr3:uid="{00000000-0010-0000-0000-000002000000}" name="date" dataDxfId="1"/>
    <tableColumn id="3" xr3:uid="{00000000-0010-0000-0000-000003000000}" name="Hour" dataDxfId="0"/>
    <tableColumn id="4" xr3:uid="{00000000-0010-0000-0000-000004000000}" name="group"/>
    <tableColumn id="5" xr3:uid="{00000000-0010-0000-0000-000005000000}" name="team 1"/>
    <tableColumn id="6" xr3:uid="{00000000-0010-0000-0000-000006000000}" name="team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enu"/>
  <dimension ref="A1:C10"/>
  <sheetViews>
    <sheetView showGridLines="0" tabSelected="1" workbookViewId="0">
      <selection activeCell="F15" sqref="F15"/>
    </sheetView>
  </sheetViews>
  <sheetFormatPr defaultColWidth="8.7265625" defaultRowHeight="14.5" x14ac:dyDescent="0.35"/>
  <cols>
    <col min="1" max="1" width="10.1796875" style="7" bestFit="1" customWidth="1"/>
    <col min="2" max="2" width="12.54296875" style="7" bestFit="1" customWidth="1"/>
    <col min="3" max="3" width="7.453125" style="7" bestFit="1" customWidth="1"/>
    <col min="4" max="16384" width="8.7265625" style="7"/>
  </cols>
  <sheetData>
    <row r="1" spans="1:3" ht="15" thickBot="1" x14ac:dyDescent="0.4">
      <c r="A1" s="10">
        <f ca="1">TODAY()</f>
        <v>44885</v>
      </c>
    </row>
    <row r="2" spans="1:3" x14ac:dyDescent="0.35">
      <c r="A2" s="11"/>
      <c r="B2" s="48" t="s">
        <v>0</v>
      </c>
      <c r="C2" s="49"/>
    </row>
    <row r="3" spans="1:3" ht="15" thickBot="1" x14ac:dyDescent="0.4">
      <c r="A3" s="11"/>
      <c r="B3" s="50"/>
      <c r="C3" s="51"/>
    </row>
    <row r="4" spans="1:3" x14ac:dyDescent="0.35">
      <c r="A4" s="10">
        <v>44885</v>
      </c>
      <c r="B4" s="12" t="s">
        <v>1</v>
      </c>
      <c r="C4" s="13" t="str">
        <f t="shared" ref="C4:C9" ca="1" si="0">(A4-$A$1) &amp; " days"</f>
        <v>0 days</v>
      </c>
    </row>
    <row r="5" spans="1:3" x14ac:dyDescent="0.35">
      <c r="A5" s="10">
        <v>44898</v>
      </c>
      <c r="B5" s="14" t="s">
        <v>2</v>
      </c>
      <c r="C5" s="15" t="str">
        <f t="shared" ca="1" si="0"/>
        <v>13 days</v>
      </c>
    </row>
    <row r="6" spans="1:3" x14ac:dyDescent="0.35">
      <c r="A6" s="10">
        <v>44904</v>
      </c>
      <c r="B6" s="14" t="s">
        <v>3</v>
      </c>
      <c r="C6" s="15" t="str">
        <f t="shared" ca="1" si="0"/>
        <v>19 days</v>
      </c>
    </row>
    <row r="7" spans="1:3" x14ac:dyDescent="0.35">
      <c r="A7" s="10">
        <v>44908</v>
      </c>
      <c r="B7" s="14" t="s">
        <v>4</v>
      </c>
      <c r="C7" s="15" t="str">
        <f t="shared" ca="1" si="0"/>
        <v>23 days</v>
      </c>
    </row>
    <row r="8" spans="1:3" x14ac:dyDescent="0.35">
      <c r="A8" s="10">
        <v>44912</v>
      </c>
      <c r="B8" s="14" t="s">
        <v>5</v>
      </c>
      <c r="C8" s="15" t="str">
        <f t="shared" ca="1" si="0"/>
        <v>27 days</v>
      </c>
    </row>
    <row r="9" spans="1:3" ht="15" thickBot="1" x14ac:dyDescent="0.4">
      <c r="A9" s="10">
        <v>44913</v>
      </c>
      <c r="B9" s="16" t="s">
        <v>6</v>
      </c>
      <c r="C9" s="17" t="str">
        <f t="shared" ca="1" si="0"/>
        <v>28 days</v>
      </c>
    </row>
    <row r="10" spans="1:3" x14ac:dyDescent="0.35">
      <c r="A10" s="11"/>
    </row>
  </sheetData>
  <sheetProtection algorithmName="SHA-512" hashValue="ICJPGCxqBnQuupvf0ZfHbmjsXw5qyNefNIQVcdFAA/eozsLYej7gsiPEp7AB+MDzfFuwZAhZNhkI91ZSegw28w==" saltValue="xlnPg0rdATPYNKeLE4H2BA==" spinCount="100000" sheet="1" objects="1" scenarios="1"/>
  <mergeCells count="1">
    <mergeCell ref="B2:C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8EFC2-78A4-4469-BA55-72F1F6CA9BBA}">
  <sheetPr codeName="group1"/>
  <dimension ref="B2:BC27"/>
  <sheetViews>
    <sheetView showGridLines="0" zoomScale="80" zoomScaleNormal="80" workbookViewId="0">
      <selection sqref="A1:XFD1048576"/>
    </sheetView>
  </sheetViews>
  <sheetFormatPr defaultRowHeight="14.5" outlineLevelCol="2" x14ac:dyDescent="0.35"/>
  <cols>
    <col min="1" max="1" width="3.1796875" customWidth="1"/>
    <col min="2" max="2" width="6.453125" bestFit="1" customWidth="1"/>
    <col min="3" max="3" width="3.1796875" bestFit="1" customWidth="1"/>
    <col min="4" max="4" width="11" bestFit="1" customWidth="1"/>
    <col min="8" max="8" width="6.1796875" bestFit="1" customWidth="1"/>
    <col min="10" max="10" width="2.1796875" customWidth="1"/>
    <col min="11" max="15" width="8.54296875" hidden="1" customWidth="1" outlineLevel="1"/>
    <col min="16" max="21" width="0" hidden="1" customWidth="1" outlineLevel="1"/>
    <col min="22" max="22" width="3.1796875" customWidth="1" collapsed="1"/>
    <col min="31" max="31" width="1.81640625" customWidth="1"/>
    <col min="32" max="42" width="0" hidden="1" customWidth="1" outlineLevel="2"/>
    <col min="43" max="43" width="2.7265625" customWidth="1" collapsed="1"/>
  </cols>
  <sheetData>
    <row r="2" spans="2:55" x14ac:dyDescent="0.35">
      <c r="B2" s="1" t="s">
        <v>7</v>
      </c>
      <c r="C2" s="1" t="s">
        <v>8</v>
      </c>
      <c r="D2" s="1" t="s">
        <v>9</v>
      </c>
      <c r="E2" s="1" t="s">
        <v>10</v>
      </c>
      <c r="F2" s="1" t="s">
        <v>11</v>
      </c>
      <c r="G2" s="1" t="s">
        <v>12</v>
      </c>
      <c r="H2" s="1" t="s">
        <v>13</v>
      </c>
      <c r="I2" s="1" t="s">
        <v>14</v>
      </c>
      <c r="J2" s="2"/>
      <c r="K2" s="44" t="s">
        <v>15</v>
      </c>
      <c r="L2" s="43" t="s">
        <v>16</v>
      </c>
      <c r="M2" s="43" t="s">
        <v>17</v>
      </c>
      <c r="N2" s="43" t="s">
        <v>18</v>
      </c>
      <c r="O2" s="43" t="s">
        <v>19</v>
      </c>
      <c r="P2" s="43" t="s">
        <v>20</v>
      </c>
      <c r="Q2" s="43" t="s">
        <v>21</v>
      </c>
      <c r="R2" s="43" t="s">
        <v>22</v>
      </c>
      <c r="S2" s="43" t="s">
        <v>23</v>
      </c>
      <c r="T2" s="43" t="s">
        <v>24</v>
      </c>
      <c r="U2" s="43" t="s">
        <v>25</v>
      </c>
      <c r="W2" s="1" t="s">
        <v>7</v>
      </c>
      <c r="X2" s="1" t="s">
        <v>26</v>
      </c>
      <c r="Y2" s="1" t="s">
        <v>9</v>
      </c>
      <c r="Z2" s="1" t="s">
        <v>10</v>
      </c>
      <c r="AA2" s="1" t="s">
        <v>11</v>
      </c>
      <c r="AB2" s="1" t="s">
        <v>12</v>
      </c>
      <c r="AC2" s="1" t="s">
        <v>13</v>
      </c>
      <c r="AD2" s="1" t="s">
        <v>14</v>
      </c>
      <c r="AE2" s="2"/>
      <c r="AF2" s="44" t="s">
        <v>15</v>
      </c>
      <c r="AG2" s="43" t="s">
        <v>16</v>
      </c>
      <c r="AH2" s="43" t="s">
        <v>17</v>
      </c>
      <c r="AI2" s="43" t="s">
        <v>18</v>
      </c>
      <c r="AJ2" s="43" t="s">
        <v>19</v>
      </c>
      <c r="AK2" s="43" t="s">
        <v>20</v>
      </c>
      <c r="AL2" s="43" t="s">
        <v>21</v>
      </c>
      <c r="AM2" s="43" t="s">
        <v>22</v>
      </c>
      <c r="AN2" s="43" t="s">
        <v>23</v>
      </c>
      <c r="AO2" s="43" t="s">
        <v>24</v>
      </c>
      <c r="AP2" s="43" t="s">
        <v>25</v>
      </c>
    </row>
    <row r="3" spans="2:55" x14ac:dyDescent="0.35">
      <c r="B3" s="3">
        <v>1</v>
      </c>
      <c r="C3" s="3" t="s">
        <v>27</v>
      </c>
      <c r="D3" s="3" t="s">
        <v>28</v>
      </c>
      <c r="E3" s="3">
        <f>MarcoEsteves!F5+MarcoEsteves!F22+MarcoEsteves!H38</f>
        <v>1</v>
      </c>
      <c r="F3" s="3">
        <f>MarcoEsteves!H5+MarcoEsteves!H22+MarcoEsteves!F38</f>
        <v>1</v>
      </c>
      <c r="G3" s="3">
        <f>E3-F3</f>
        <v>0</v>
      </c>
      <c r="H3" s="3">
        <f>IF(MarcoEsteves!F5="",0,1)+IF(MarcoEsteves!F22="",0,1)+IF(MarcoEsteves!H38="",0,1)</f>
        <v>1</v>
      </c>
      <c r="I3" s="3">
        <f>IF(MarcoEsteves!F5="",0,IF(MarcoEsteves!F5&gt;MarcoEsteves!H5,3,IF(MarcoEsteves!H5&gt;MarcoEsteves!F5,0,1)))+IF(MarcoEsteves!F22="",0,IF(MarcoEsteves!F22&gt;MarcoEsteves!H22,3,IF(MarcoEsteves!H22&gt;MarcoEsteves!F22,0,1)))+IF(MarcoEsteves!F38="",0,IF(MarcoEsteves!H38&gt;MarcoEsteves!F38,3,IF(MarcoEsteves!F38&gt;MarcoEsteves!H38,0,1)))</f>
        <v>1</v>
      </c>
      <c r="K3">
        <f>IF(MarcoEsteves!F5&gt;MarcoEsteves!H5,1,0)</f>
        <v>0</v>
      </c>
      <c r="L3">
        <f>IF(MarcoEsteves!F22&gt;MarcoEsteves!H22,1,0)</f>
        <v>0</v>
      </c>
      <c r="M3">
        <f>IF(MarcoEsteves!H38&gt;MarcoEsteves!F38,1,0)</f>
        <v>0</v>
      </c>
      <c r="Q3">
        <f>SUM(K3:L3,N3)</f>
        <v>0</v>
      </c>
      <c r="S3">
        <f>SUM(L3,M3,P3)</f>
        <v>0</v>
      </c>
      <c r="T3">
        <f>SUM(K3,M3,O3)</f>
        <v>0</v>
      </c>
      <c r="U3">
        <f>SUM(K3:P3)</f>
        <v>0</v>
      </c>
      <c r="W3" s="3">
        <v>1</v>
      </c>
      <c r="X3" s="3" t="s">
        <v>29</v>
      </c>
      <c r="Y3" s="3" t="s">
        <v>30</v>
      </c>
      <c r="Z3" s="3">
        <f>MarcoEsteves!F15+MarcoEsteves!F32+MarcoEsteves!H47</f>
        <v>0</v>
      </c>
      <c r="AA3" s="3">
        <f>MarcoEsteves!H15+MarcoEsteves!H32+MarcoEsteves!F47</f>
        <v>0</v>
      </c>
      <c r="AB3" s="3">
        <f>Z3-AA3</f>
        <v>0</v>
      </c>
      <c r="AC3" s="3">
        <f>IF(MarcoEsteves!F15="",0,1)+IF(MarcoEsteves!F32="",0,1)+IF(MarcoEsteves!H47="",0,1)</f>
        <v>0</v>
      </c>
      <c r="AD3" s="3">
        <f>IF(MarcoEsteves!F15="",0,IF(MarcoEsteves!F15&gt;MarcoEsteves!H15,3,IF(MarcoEsteves!H15&gt;MarcoEsteves!F15,0,1)))+IF(MarcoEsteves!F32="",0,IF(MarcoEsteves!F32&gt;MarcoEsteves!H32,3,IF(MarcoEsteves!H32&gt;MarcoEsteves!F32,0,1)))+IF(MarcoEsteves!H47="",0,IF(MarcoEsteves!F47&gt;MarcoEsteves!H47,3,IF(MarcoEsteves!H47&gt;MarcoEsteves!F47,0,1)))</f>
        <v>0</v>
      </c>
      <c r="AF3">
        <f>IF(MarcoEsteves!F32&gt;MarcoEsteves!H32,1,0)</f>
        <v>0</v>
      </c>
      <c r="AG3">
        <f>IF(MarcoEsteves!H47&gt;MarcoEsteves!F47,1,0)</f>
        <v>0</v>
      </c>
      <c r="AH3">
        <f>IF(MarcoEsteves!F15&gt;MarcoEsteves!H15,1,0)</f>
        <v>0</v>
      </c>
      <c r="AL3">
        <f>SUM(AF3:AG3,AI3)</f>
        <v>0</v>
      </c>
      <c r="AN3">
        <f>SUM(AG3,AH3,AK3)</f>
        <v>0</v>
      </c>
      <c r="AO3">
        <f>SUM(AF3,AH3,AJ3)</f>
        <v>0</v>
      </c>
      <c r="AP3">
        <f>SUM(AF3:AK3)</f>
        <v>0</v>
      </c>
    </row>
    <row r="4" spans="2:55" x14ac:dyDescent="0.35">
      <c r="B4" s="3">
        <v>2</v>
      </c>
      <c r="C4" s="3" t="s">
        <v>31</v>
      </c>
      <c r="D4" s="3" t="s">
        <v>32</v>
      </c>
      <c r="E4" s="3">
        <f>MarcoEsteves!H5+MarcoEsteves!H23+MarcoEsteves!F37</f>
        <v>1</v>
      </c>
      <c r="F4" s="3">
        <f>MarcoEsteves!F5+MarcoEsteves!F23+MarcoEsteves!H37</f>
        <v>1</v>
      </c>
      <c r="G4" s="3">
        <f>E4-F4</f>
        <v>0</v>
      </c>
      <c r="H4" s="3">
        <f>IF(MarcoEsteves!H5="",0,1)+IF(MarcoEsteves!H23="",0,1)+IF(MarcoEsteves!F37="",0,1)</f>
        <v>1</v>
      </c>
      <c r="I4" s="3">
        <f>IF(MarcoEsteves!H5="",0,IF(MarcoEsteves!H5&gt;MarcoEsteves!F5,3,IF(MarcoEsteves!F5&gt;MarcoEsteves!H5,0,1)))+IF(MarcoEsteves!H23="",0,IF(MarcoEsteves!H23&gt;MarcoEsteves!F23,3,IF(MarcoEsteves!F23&gt;MarcoEsteves!H23,0,1)))+IF(MarcoEsteves!F37="",0,IF(MarcoEsteves!F37&gt;MarcoEsteves!H37,3,IF(MarcoEsteves!H37&gt;MarcoEsteves!F37,0,1)))</f>
        <v>1</v>
      </c>
      <c r="K4">
        <f>IF(MarcoEsteves!H5&gt;MarcoEsteves!F5,1,0)</f>
        <v>0</v>
      </c>
      <c r="N4">
        <f>IF(MarcoEsteves!F37&gt;MarcoEsteves!H37,1,0)</f>
        <v>0</v>
      </c>
      <c r="O4">
        <f>IF(MarcoEsteves!H23&gt;MarcoEsteves!F23,1,0)</f>
        <v>0</v>
      </c>
      <c r="Q4">
        <f>SUM(K4:L4,N4)</f>
        <v>0</v>
      </c>
      <c r="R4">
        <f>SUM(N4:P4)</f>
        <v>0</v>
      </c>
      <c r="T4">
        <f>SUM(K4,M4,O4)</f>
        <v>0</v>
      </c>
      <c r="U4">
        <f>SUM(K4:P4)</f>
        <v>0</v>
      </c>
      <c r="W4" s="3">
        <v>2</v>
      </c>
      <c r="X4" s="3" t="s">
        <v>33</v>
      </c>
      <c r="Y4" s="3" t="s">
        <v>34</v>
      </c>
      <c r="Z4" s="3">
        <f>MarcoEsteves!F14+MarcoEsteves!H32+MarcoEsteves!H48</f>
        <v>0</v>
      </c>
      <c r="AA4" s="3">
        <f>MarcoEsteves!H14+MarcoEsteves!F32+MarcoEsteves!F48</f>
        <v>0</v>
      </c>
      <c r="AB4" s="3">
        <f>Z4-AA4</f>
        <v>0</v>
      </c>
      <c r="AC4" s="3">
        <f>IF(MarcoEsteves!F14="",0,1)+IF(MarcoEsteves!H32="",0,1)+IF(MarcoEsteves!H48="",0,1)</f>
        <v>0</v>
      </c>
      <c r="AD4" s="3">
        <f>IF(MarcoEsteves!F14="",0,IF(MarcoEsteves!F14&gt;MarcoEsteves!H14,3,IF(MarcoEsteves!H14&gt;MarcoEsteves!F14,0,1)))+IF(MarcoEsteves!H32="",0,IF(MarcoEsteves!H32&gt;MarcoEsteves!F32,3,IF(MarcoEsteves!F32&gt;MarcoEsteves!H32,0,1)))+IF(MarcoEsteves!F48="",0,IF(MarcoEsteves!H48&gt;MarcoEsteves!F48,3,IF(MarcoEsteves!F48&gt;MarcoEsteves!H48,0,1)))</f>
        <v>0</v>
      </c>
      <c r="AF4">
        <f>IF(MarcoEsteves!H32&gt;MarcoEsteves!F32,1,0)</f>
        <v>0</v>
      </c>
      <c r="AI4">
        <f>IF(MarcoEsteves!F14&gt;MarcoEsteves!H14,1,0)</f>
        <v>0</v>
      </c>
      <c r="AJ4">
        <f>IF(MarcoEsteves!H48&gt;MarcoEsteves!F48,1,0)</f>
        <v>0</v>
      </c>
      <c r="AL4">
        <f>SUM(AF4:AG4,AI4)</f>
        <v>0</v>
      </c>
      <c r="AM4">
        <f>SUM(AI4:AK4)</f>
        <v>0</v>
      </c>
      <c r="AO4">
        <f>SUM(AF4,AH4,AJ4)</f>
        <v>0</v>
      </c>
      <c r="AP4">
        <f>SUM(AF4:AK4)</f>
        <v>0</v>
      </c>
    </row>
    <row r="5" spans="2:55" x14ac:dyDescent="0.35">
      <c r="B5" s="3">
        <v>3</v>
      </c>
      <c r="C5" s="3" t="s">
        <v>35</v>
      </c>
      <c r="D5" s="3" t="s">
        <v>36</v>
      </c>
      <c r="E5" s="3">
        <f>MarcoEsteves!F7+MarcoEsteves!H22+MarcoEsteves!H37</f>
        <v>1</v>
      </c>
      <c r="F5" s="3">
        <f>MarcoEsteves!H7+MarcoEsteves!F22+MarcoEsteves!F37</f>
        <v>3</v>
      </c>
      <c r="G5" s="3">
        <f>E5-F5</f>
        <v>-2</v>
      </c>
      <c r="H5" s="3">
        <f>IF(MarcoEsteves!F7="",0,1)+IF(MarcoEsteves!H22="",0,1)+IF(MarcoEsteves!H37="",0,1)</f>
        <v>1</v>
      </c>
      <c r="I5" s="3">
        <f>IF(MarcoEsteves!F7="",0,IF(MarcoEsteves!F7&gt;MarcoEsteves!H7,3,IF(MarcoEsteves!H7&gt;MarcoEsteves!F7,0,1)))+IF(MarcoEsteves!H22="",0,IF(MarcoEsteves!H22&gt;MarcoEsteves!F22,3,IF(MarcoEsteves!F22&gt;MarcoEsteves!H22,0,1)))+IF(MarcoEsteves!F37="",0,IF(MarcoEsteves!H37&gt;MarcoEsteves!F37,3,IF(MarcoEsteves!F37&gt;MarcoEsteves!H37,0,1)))</f>
        <v>0</v>
      </c>
      <c r="L5">
        <f>IF(MarcoEsteves!H22&gt;MarcoEsteves!F22,1,0)</f>
        <v>0</v>
      </c>
      <c r="N5">
        <f>IF(MarcoEsteves!H37&gt;MarcoEsteves!F37,1,0)</f>
        <v>0</v>
      </c>
      <c r="P5">
        <f>IF(MarcoEsteves!F7&gt;MarcoEsteves!H7,1,0)</f>
        <v>0</v>
      </c>
      <c r="Q5">
        <f>SUM(K5:L5,N5)</f>
        <v>0</v>
      </c>
      <c r="R5">
        <f>SUM(N5:P5)</f>
        <v>0</v>
      </c>
      <c r="S5">
        <f>SUM(L5,M5,P5)</f>
        <v>0</v>
      </c>
      <c r="U5">
        <f>SUM(K5:P5)</f>
        <v>0</v>
      </c>
      <c r="W5" s="3">
        <v>3</v>
      </c>
      <c r="X5" s="3" t="s">
        <v>37</v>
      </c>
      <c r="Y5" s="3" t="s">
        <v>38</v>
      </c>
      <c r="Z5" s="3">
        <f>MarcoEsteves!H14+MarcoEsteves!F29+MarcoEsteves!F47</f>
        <v>0</v>
      </c>
      <c r="AA5" s="3">
        <f>MarcoEsteves!F14+MarcoEsteves!H29+MarcoEsteves!H47</f>
        <v>0</v>
      </c>
      <c r="AB5" s="3">
        <f>Z5-AA5</f>
        <v>0</v>
      </c>
      <c r="AC5" s="3">
        <f>IF(MarcoEsteves!H14="",0,1)+IF(MarcoEsteves!F29="",0,1)+IF(MarcoEsteves!F47="",0,1)</f>
        <v>0</v>
      </c>
      <c r="AD5" s="3">
        <f>IF(MarcoEsteves!H14="",0,IF(MarcoEsteves!H14&gt;MarcoEsteves!F14,3,IF(MarcoEsteves!F14&gt;MarcoEsteves!H14,0,1)))+IF(MarcoEsteves!F29="",0,IF(MarcoEsteves!F29&gt;MarcoEsteves!H29,3,IF(MarcoEsteves!H29&gt;MarcoEsteves!F29,0,1)))+IF(MarcoEsteves!F47="",0,IF(MarcoEsteves!F47&gt;MarcoEsteves!H47,3,IF(MarcoEsteves!H47&gt;MarcoEsteves!F47,0,1)))</f>
        <v>0</v>
      </c>
      <c r="AG5">
        <f>IF(MarcoEsteves!F47&gt;MarcoEsteves!H47,1,0)</f>
        <v>0</v>
      </c>
      <c r="AI5">
        <f>IF(MarcoEsteves!H14&gt;MarcoEsteves!F14,1,0)</f>
        <v>0</v>
      </c>
      <c r="AK5">
        <f>IF(MarcoEsteves!F29&gt;MarcoEsteves!H29,1,0)</f>
        <v>0</v>
      </c>
      <c r="AL5">
        <f>SUM(AF5:AG5,AI5)</f>
        <v>0</v>
      </c>
      <c r="AM5">
        <f>SUM(AI5:AK5)</f>
        <v>0</v>
      </c>
      <c r="AN5">
        <f>SUM(AG5,AH5,AK5)</f>
        <v>0</v>
      </c>
      <c r="AP5">
        <f>SUM(AF5:AK5)</f>
        <v>0</v>
      </c>
      <c r="AR5" s="2"/>
      <c r="AS5" s="44"/>
      <c r="AT5" s="43"/>
      <c r="AU5" s="43"/>
      <c r="AV5" s="43"/>
      <c r="AW5" s="43"/>
      <c r="AX5" s="43"/>
      <c r="AY5" s="43"/>
      <c r="AZ5" s="43"/>
      <c r="BA5" s="43"/>
      <c r="BB5" s="43"/>
      <c r="BC5" s="43"/>
    </row>
    <row r="6" spans="2:55" x14ac:dyDescent="0.35">
      <c r="B6" s="3">
        <v>4</v>
      </c>
      <c r="C6" s="3" t="s">
        <v>39</v>
      </c>
      <c r="D6" s="3" t="s">
        <v>40</v>
      </c>
      <c r="E6" s="3">
        <f>MarcoEsteves!H7+MarcoEsteves!F23+MarcoEsteves!F38</f>
        <v>3</v>
      </c>
      <c r="F6" s="3">
        <f>MarcoEsteves!F7+MarcoEsteves!H23+MarcoEsteves!H38</f>
        <v>1</v>
      </c>
      <c r="G6" s="3">
        <f>E6-F6</f>
        <v>2</v>
      </c>
      <c r="H6" s="3">
        <f>IF(MarcoEsteves!H7="",0,1)+IF(MarcoEsteves!F23="",0,1)+IF(MarcoEsteves!F38="",0,1)</f>
        <v>1</v>
      </c>
      <c r="I6" s="3">
        <f>IF(MarcoEsteves!H7="",0,IF(MarcoEsteves!H7&gt;MarcoEsteves!F7,3,IF(MarcoEsteves!F7&gt;MarcoEsteves!H7,0,1)))+IF(MarcoEsteves!F23="",0,IF(MarcoEsteves!F23&gt;MarcoEsteves!H23,3,IF(MarcoEsteves!H23&gt;MarcoEsteves!F23,0,1)))+IF(MarcoEsteves!F38="",0,IF(MarcoEsteves!F38&gt;MarcoEsteves!H38,3,IF(MarcoEsteves!H38&gt;MarcoEsteves!F38,0,1)))</f>
        <v>3</v>
      </c>
      <c r="M6">
        <f>IF(MarcoEsteves!F38&gt;MarcoEsteves!H38,1,0)</f>
        <v>0</v>
      </c>
      <c r="O6">
        <f>IF(MarcoEsteves!F23&gt;MarcoEsteves!H23,1,0)</f>
        <v>0</v>
      </c>
      <c r="P6">
        <f>IF(MarcoEsteves!H7&gt;MarcoEsteves!F7,1,0)</f>
        <v>1</v>
      </c>
      <c r="R6">
        <f>SUM(N6:P6)</f>
        <v>1</v>
      </c>
      <c r="S6">
        <f>SUM(L6,M6,P6)</f>
        <v>1</v>
      </c>
      <c r="T6">
        <f>SUM(K6,M6,O6)</f>
        <v>0</v>
      </c>
      <c r="U6">
        <f>SUM(K6:P6)</f>
        <v>1</v>
      </c>
      <c r="W6" s="3">
        <v>4</v>
      </c>
      <c r="X6" s="3" t="s">
        <v>41</v>
      </c>
      <c r="Y6" s="3" t="s">
        <v>42</v>
      </c>
      <c r="Z6" s="3">
        <f>MarcoEsteves!H15+MarcoEsteves!H29+MarcoEsteves!F48</f>
        <v>0</v>
      </c>
      <c r="AA6" s="3">
        <f>MarcoEsteves!F15+MarcoEsteves!F29+MarcoEsteves!H48</f>
        <v>0</v>
      </c>
      <c r="AB6" s="3">
        <f>Z6-AA6</f>
        <v>0</v>
      </c>
      <c r="AC6" s="3">
        <f>IF(MarcoEsteves!H15="",0,1)+IF(MarcoEsteves!H29="",0,1)+IF(MarcoEsteves!F48="",0,1)</f>
        <v>0</v>
      </c>
      <c r="AD6" s="3">
        <f>IF(MarcoEsteves!H15="",0,IF(MarcoEsteves!H15&gt;MarcoEsteves!F15,3,IF(MarcoEsteves!F15&gt;MarcoEsteves!H15,0,1)))+IF(MarcoEsteves!H29="",0,IF(MarcoEsteves!H29&gt;MarcoEsteves!F29,3,IF(MarcoEsteves!F29&gt;MarcoEsteves!H29,0,1)))+IF(MarcoEsteves!F48="",0,IF(MarcoEsteves!F48&gt;MarcoEsteves!H48,3,IF(MarcoEsteves!H48&gt;MarcoEsteves!F48,0,1)))</f>
        <v>0</v>
      </c>
      <c r="AH6">
        <f>IF(MarcoEsteves!H15&gt;MarcoEsteves!F15,1,0)</f>
        <v>0</v>
      </c>
      <c r="AJ6">
        <f>IF(MarcoEsteves!F48&gt;MarcoEsteves!H48,1,0)</f>
        <v>0</v>
      </c>
      <c r="AK6">
        <f>IF(MarcoEsteves!H29&gt;MarcoEsteves!F29,1,0)</f>
        <v>0</v>
      </c>
      <c r="AM6">
        <f>SUM(AI6:AK6)</f>
        <v>0</v>
      </c>
      <c r="AN6">
        <f>SUM(AG6,AH6,AK6)</f>
        <v>0</v>
      </c>
      <c r="AO6">
        <f>SUM(AF6,AH6,AJ6)</f>
        <v>0</v>
      </c>
      <c r="AP6">
        <f>SUM(AF6:AK6)</f>
        <v>0</v>
      </c>
    </row>
    <row r="9" spans="2:55" x14ac:dyDescent="0.35">
      <c r="B9" s="1" t="s">
        <v>7</v>
      </c>
      <c r="C9" s="1" t="s">
        <v>43</v>
      </c>
      <c r="D9" s="1" t="s">
        <v>9</v>
      </c>
      <c r="E9" s="1" t="s">
        <v>10</v>
      </c>
      <c r="F9" s="1" t="s">
        <v>11</v>
      </c>
      <c r="G9" s="1" t="s">
        <v>12</v>
      </c>
      <c r="H9" s="1" t="s">
        <v>13</v>
      </c>
      <c r="I9" s="1" t="s">
        <v>14</v>
      </c>
      <c r="K9" s="6" t="s">
        <v>15</v>
      </c>
      <c r="L9" s="6" t="s">
        <v>16</v>
      </c>
      <c r="M9" s="6" t="s">
        <v>17</v>
      </c>
      <c r="N9" s="6" t="s">
        <v>18</v>
      </c>
      <c r="O9" s="6" t="s">
        <v>19</v>
      </c>
      <c r="P9" s="6" t="s">
        <v>20</v>
      </c>
      <c r="Q9" s="6" t="s">
        <v>21</v>
      </c>
      <c r="R9" s="6" t="s">
        <v>22</v>
      </c>
      <c r="S9" s="6" t="s">
        <v>23</v>
      </c>
      <c r="T9" s="6" t="s">
        <v>24</v>
      </c>
      <c r="U9" s="6" t="s">
        <v>25</v>
      </c>
      <c r="W9" s="1" t="s">
        <v>7</v>
      </c>
      <c r="X9" s="1" t="s">
        <v>44</v>
      </c>
      <c r="Y9" s="1" t="s">
        <v>9</v>
      </c>
      <c r="Z9" s="1" t="s">
        <v>10</v>
      </c>
      <c r="AA9" s="1" t="s">
        <v>11</v>
      </c>
      <c r="AB9" s="1" t="s">
        <v>12</v>
      </c>
      <c r="AC9" s="1" t="s">
        <v>13</v>
      </c>
      <c r="AD9" s="1" t="s">
        <v>14</v>
      </c>
      <c r="AE9" s="2"/>
      <c r="AF9" s="44" t="s">
        <v>15</v>
      </c>
      <c r="AG9" s="43" t="s">
        <v>16</v>
      </c>
      <c r="AH9" s="43" t="s">
        <v>17</v>
      </c>
      <c r="AI9" s="43" t="s">
        <v>18</v>
      </c>
      <c r="AJ9" s="43" t="s">
        <v>19</v>
      </c>
      <c r="AK9" s="43" t="s">
        <v>20</v>
      </c>
      <c r="AL9" s="43" t="s">
        <v>21</v>
      </c>
      <c r="AM9" s="43" t="s">
        <v>22</v>
      </c>
      <c r="AN9" s="43" t="s">
        <v>23</v>
      </c>
      <c r="AO9" s="43" t="s">
        <v>24</v>
      </c>
      <c r="AP9" s="43" t="s">
        <v>25</v>
      </c>
    </row>
    <row r="10" spans="2:55" x14ac:dyDescent="0.35">
      <c r="B10" s="3">
        <v>1</v>
      </c>
      <c r="C10" s="3" t="s">
        <v>45</v>
      </c>
      <c r="D10" s="3" t="s">
        <v>46</v>
      </c>
      <c r="E10" s="3">
        <f>MarcoEsteves!F6+MarcoEsteves!F24+MarcoEsteves!H39</f>
        <v>2</v>
      </c>
      <c r="F10" s="3">
        <f>MarcoEsteves!H6+MarcoEsteves!H24+MarcoEsteves!F39</f>
        <v>1</v>
      </c>
      <c r="G10" s="3">
        <f>E10-F10</f>
        <v>1</v>
      </c>
      <c r="H10" s="3">
        <f>IF(MarcoEsteves!F6="",0,1)+IF(MarcoEsteves!F24="",0,1)+IF(MarcoEsteves!H39="",0,1)</f>
        <v>1</v>
      </c>
      <c r="I10" s="3">
        <f>IF(MarcoEsteves!F6="",0,IF(MarcoEsteves!F6&gt;MarcoEsteves!H6,3,IF(MarcoEsteves!H6&gt;MarcoEsteves!F6,0,1)))+IF(MarcoEsteves!F24="",0,IF(MarcoEsteves!F24&gt;MarcoEsteves!H24,3,IF(MarcoEsteves!H24&gt;MarcoEsteves!F24,0,1)))+IF(MarcoEsteves!F39="",0,IF(MarcoEsteves!H39&gt;MarcoEsteves!F39,3,IF(MarcoEsteves!F39&gt;MarcoEsteves!H39,0,1)))</f>
        <v>3</v>
      </c>
      <c r="K10">
        <f>IF(MarcoEsteves!F6&gt;MarcoEsteves!H6,1,0)</f>
        <v>1</v>
      </c>
      <c r="L10">
        <f>IF(MarcoEsteves!F24&gt;MarcoEsteves!H24,1,0)</f>
        <v>0</v>
      </c>
      <c r="M10">
        <f>IF(MarcoEsteves!H39&gt;MarcoEsteves!F39,1,0)</f>
        <v>0</v>
      </c>
      <c r="Q10">
        <f>SUM(K10:L10,N10)</f>
        <v>1</v>
      </c>
      <c r="S10">
        <f>SUM(L10,M10,P10)</f>
        <v>0</v>
      </c>
      <c r="T10">
        <f>SUM(K10,M10,O10)</f>
        <v>1</v>
      </c>
      <c r="U10">
        <f>SUM(K10:P10)</f>
        <v>1</v>
      </c>
      <c r="W10" s="3">
        <v>1</v>
      </c>
      <c r="X10" s="3" t="s">
        <v>47</v>
      </c>
      <c r="Y10" s="3" t="s">
        <v>48</v>
      </c>
      <c r="Z10" s="3">
        <f>MarcoEsteves!F16+MarcoEsteves!F30+MarcoEsteves!H45</f>
        <v>0</v>
      </c>
      <c r="AA10" s="3">
        <f>MarcoEsteves!H16+MarcoEsteves!H30+MarcoEsteves!F45</f>
        <v>0</v>
      </c>
      <c r="AB10" s="3">
        <f>Z10-AA10</f>
        <v>0</v>
      </c>
      <c r="AC10" s="3">
        <f>IF(MarcoEsteves!F16="",0,1)+IF(MarcoEsteves!F30="",0,1)+IF(MarcoEsteves!H45="",0,1)</f>
        <v>0</v>
      </c>
      <c r="AD10" s="3">
        <f>IF(MarcoEsteves!F16="",0,IF(MarcoEsteves!F16&gt;MarcoEsteves!H16,3,IF(MarcoEsteves!H16&gt;MarcoEsteves!F16,0,1)))+IF(MarcoEsteves!F30="",0,IF(MarcoEsteves!F30&gt;MarcoEsteves!H30,3,IF(MarcoEsteves!H30&gt;MarcoEsteves!F30,0,1)))+IF(MarcoEsteves!F45="",0,IF(MarcoEsteves!H45&gt;MarcoEsteves!F45,3,IF(MarcoEsteves!F45&gt;MarcoEsteves!H45,0,1)))</f>
        <v>0</v>
      </c>
      <c r="AF10">
        <f>IF(MarcoEsteves!F16&gt;MarcoEsteves!H16,1,0)</f>
        <v>0</v>
      </c>
      <c r="AG10">
        <f>IF(MarcoEsteves!F30&gt;MarcoEsteves!H30,1,0)</f>
        <v>0</v>
      </c>
      <c r="AH10">
        <f>IF(MarcoEsteves!H45&gt;MarcoEsteves!F45,1,0)</f>
        <v>0</v>
      </c>
      <c r="AL10">
        <f>SUM(AF10:AG10,AI10)</f>
        <v>0</v>
      </c>
      <c r="AN10">
        <f>SUM(AG10,AH10,AK10)</f>
        <v>0</v>
      </c>
      <c r="AO10">
        <f>SUM(AF10,AH10,AJ10)</f>
        <v>0</v>
      </c>
      <c r="AP10">
        <f>SUM(AF10:AK10)</f>
        <v>0</v>
      </c>
    </row>
    <row r="11" spans="2:55" x14ac:dyDescent="0.35">
      <c r="B11" s="3">
        <v>2</v>
      </c>
      <c r="C11" s="3" t="s">
        <v>49</v>
      </c>
      <c r="D11" s="3" t="s">
        <v>50</v>
      </c>
      <c r="E11" s="3">
        <f>MarcoEsteves!H6+MarcoEsteves!H21+MarcoEsteves!F40</f>
        <v>1</v>
      </c>
      <c r="F11" s="3">
        <f>MarcoEsteves!F6+MarcoEsteves!F21+MarcoEsteves!H40</f>
        <v>2</v>
      </c>
      <c r="G11" s="3">
        <f>E11-F11</f>
        <v>-1</v>
      </c>
      <c r="H11" s="3">
        <f>IF(MarcoEsteves!F6="",0,1)+IF(MarcoEsteves!H21="",0,1)+IF(MarcoEsteves!H40="",0,1)</f>
        <v>1</v>
      </c>
      <c r="I11" s="3">
        <f>IF(MarcoEsteves!H6="",0,IF(MarcoEsteves!H6&gt;MarcoEsteves!F6,3,IF(MarcoEsteves!F6&gt;MarcoEsteves!H6,0,1)))+IF(MarcoEsteves!H21="",0,IF(MarcoEsteves!H21&gt;MarcoEsteves!F21,3,IF(MarcoEsteves!F21&gt;MarcoEsteves!H21,0,1)))+IF(MarcoEsteves!F40="",0,IF(MarcoEsteves!F40&gt;MarcoEsteves!H40,3,IF(MarcoEsteves!H40&gt;MarcoEsteves!F40,0,1)))</f>
        <v>0</v>
      </c>
      <c r="K11">
        <f>IF(MarcoEsteves!H6&gt;MarcoEsteves!F6,1,0)</f>
        <v>0</v>
      </c>
      <c r="N11">
        <f>IF(MarcoEsteves!F40&gt;MarcoEsteves!H40,1,0)</f>
        <v>0</v>
      </c>
      <c r="O11">
        <f>IF(MarcoEsteves!H21&gt;MarcoEsteves!F21,1,0)</f>
        <v>0</v>
      </c>
      <c r="Q11">
        <f>SUM(K11:L11,N11)</f>
        <v>0</v>
      </c>
      <c r="R11">
        <f>SUM(N11:P11)</f>
        <v>0</v>
      </c>
      <c r="T11">
        <f>SUM(K11,M11,O11)</f>
        <v>0</v>
      </c>
      <c r="U11">
        <f>SUM(K11:P11)</f>
        <v>0</v>
      </c>
      <c r="W11" s="3">
        <v>2</v>
      </c>
      <c r="X11" s="3" t="s">
        <v>51</v>
      </c>
      <c r="Y11" s="3" t="s">
        <v>52</v>
      </c>
      <c r="Z11" s="3">
        <f>MarcoEsteves!H16+MarcoEsteves!H31+MarcoEsteves!F46</f>
        <v>0</v>
      </c>
      <c r="AA11" s="3">
        <f>MarcoEsteves!F16+MarcoEsteves!F31+MarcoEsteves!H46</f>
        <v>0</v>
      </c>
      <c r="AB11" s="3">
        <f>Z11-AA11</f>
        <v>0</v>
      </c>
      <c r="AC11" s="3">
        <f>IF(MarcoEsteves!H16="",0,1)+IF(MarcoEsteves!H31="",0,1)+IF(MarcoEsteves!F46="",0,1)</f>
        <v>0</v>
      </c>
      <c r="AD11" s="3">
        <f>IF(MarcoEsteves!H16="",0,IF(MarcoEsteves!H16&gt;MarcoEsteves!F16,3,IF(MarcoEsteves!F16&gt;MarcoEsteves!H16,0,1)))+IF(MarcoEsteves!H31="",0,IF(MarcoEsteves!H31&gt;MarcoEsteves!F31,3,IF(MarcoEsteves!F31&gt;MarcoEsteves!H31,0,1)))+IF(MarcoEsteves!F46="",0,IF(MarcoEsteves!F46&gt;MarcoEsteves!H46,3,IF(MarcoEsteves!H46&gt;MarcoEsteves!F46,0,1)))</f>
        <v>0</v>
      </c>
      <c r="AF11">
        <f>IF(MarcoEsteves!H16&gt;MarcoEsteves!F16,1,0)</f>
        <v>0</v>
      </c>
      <c r="AI11">
        <f>IF(MarcoEsteves!F46&gt;MarcoEsteves!H46,1,0)</f>
        <v>0</v>
      </c>
      <c r="AJ11">
        <f>IF(MarcoEsteves!H31&gt;MarcoEsteves!F31,1,0)</f>
        <v>0</v>
      </c>
      <c r="AL11">
        <f>SUM(AF11:AG11,AI11)</f>
        <v>0</v>
      </c>
      <c r="AM11">
        <f>SUM(AI11:AK11)</f>
        <v>0</v>
      </c>
      <c r="AO11">
        <f>SUM(AF11,AH11,AJ11)</f>
        <v>0</v>
      </c>
      <c r="AP11">
        <f>SUM(AF11:AK11)</f>
        <v>0</v>
      </c>
    </row>
    <row r="12" spans="2:55" x14ac:dyDescent="0.35">
      <c r="B12" s="3">
        <v>3</v>
      </c>
      <c r="C12" s="3" t="s">
        <v>53</v>
      </c>
      <c r="D12" s="3" t="s">
        <v>54</v>
      </c>
      <c r="E12" s="3">
        <f>MarcoEsteves!F8+MarcoEsteves!H24+MarcoEsteves!H40</f>
        <v>2</v>
      </c>
      <c r="F12" s="3">
        <f>MarcoEsteves!H8+MarcoEsteves!F24+MarcoEsteves!F40</f>
        <v>1</v>
      </c>
      <c r="G12" s="3">
        <f>E12-F12</f>
        <v>1</v>
      </c>
      <c r="H12" s="3">
        <f>IF(MarcoEsteves!F8="",0,1)+IF(MarcoEsteves!H24="",0,1)+IF(MarcoEsteves!H40="",0,1)</f>
        <v>1</v>
      </c>
      <c r="I12" s="3">
        <f>IF(MarcoEsteves!F8="",0,IF(MarcoEsteves!F8&gt;MarcoEsteves!H8,3,IF(MarcoEsteves!H8&gt;MarcoEsteves!F8,0,1)))+IF(MarcoEsteves!H24="",0,IF(MarcoEsteves!H24&gt;MarcoEsteves!F24,3,IF(MarcoEsteves!F24&gt;MarcoEsteves!H24,0,1)))+IF(MarcoEsteves!F40="",0,IF(MarcoEsteves!H40&gt;MarcoEsteves!F40,3,IF(MarcoEsteves!F40&gt;MarcoEsteves!H40,0,1)))</f>
        <v>3</v>
      </c>
      <c r="L12">
        <f>IF(MarcoEsteves!H24&gt;MarcoEsteves!F24,1,0)</f>
        <v>0</v>
      </c>
      <c r="N12">
        <f>IF(MarcoEsteves!H40&gt;MarcoEsteves!F40,1,0)</f>
        <v>0</v>
      </c>
      <c r="P12">
        <f>IF(MarcoEsteves!F8&gt;MarcoEsteves!H8,1,0)</f>
        <v>1</v>
      </c>
      <c r="Q12">
        <f>SUM(K12:L12,N12)</f>
        <v>0</v>
      </c>
      <c r="R12">
        <f>SUM(N12:P12)</f>
        <v>1</v>
      </c>
      <c r="S12">
        <f>SUM(L12,M12,P12)</f>
        <v>1</v>
      </c>
      <c r="U12">
        <f>SUM(K12:P12)</f>
        <v>1</v>
      </c>
      <c r="W12" s="3">
        <v>3</v>
      </c>
      <c r="X12" s="3" t="s">
        <v>55</v>
      </c>
      <c r="Y12" s="3" t="s">
        <v>56</v>
      </c>
      <c r="Z12" s="3">
        <f>MarcoEsteves!F13+MarcoEsteves!H30+MarcoEsteves!H46</f>
        <v>0</v>
      </c>
      <c r="AA12" s="3">
        <f>MarcoEsteves!H13+MarcoEsteves!F30+MarcoEsteves!F46</f>
        <v>0</v>
      </c>
      <c r="AB12" s="3">
        <f>Z12-AA12</f>
        <v>0</v>
      </c>
      <c r="AC12" s="3">
        <f>IF(MarcoEsteves!F13="",0,1)+IF(MarcoEsteves!H30="",0,1)+IF(MarcoEsteves!H46="",0,1)</f>
        <v>0</v>
      </c>
      <c r="AD12" s="3">
        <f>IF(MarcoEsteves!F13="",0,IF(MarcoEsteves!F13&gt;MarcoEsteves!H13,3,IF(MarcoEsteves!H13&gt;MarcoEsteves!F13,0,1)))+IF(MarcoEsteves!H30="",0,IF(MarcoEsteves!H30&gt;MarcoEsteves!F30,3,IF(MarcoEsteves!F30&gt;MarcoEsteves!H30,0,1)))+IF(MarcoEsteves!F46="",0,IF(MarcoEsteves!H46&gt;MarcoEsteves!F46,3,IF(MarcoEsteves!F46&gt;MarcoEsteves!H46,0,1)))</f>
        <v>0</v>
      </c>
      <c r="AG12">
        <f>IF(MarcoEsteves!H30&gt;MarcoEsteves!F30,1,0)</f>
        <v>0</v>
      </c>
      <c r="AI12">
        <f>IF(MarcoEsteves!H46&gt;MarcoEsteves!F46,1,0)</f>
        <v>0</v>
      </c>
      <c r="AK12">
        <f>IF(MarcoEsteves!F13&gt;MarcoEsteves!H13,1,0)</f>
        <v>0</v>
      </c>
      <c r="AL12">
        <f>SUM(AF12:AG12,AI12)</f>
        <v>0</v>
      </c>
      <c r="AM12">
        <f>SUM(AI12:AK12)</f>
        <v>0</v>
      </c>
      <c r="AN12">
        <f>SUM(AG12,AH12,AK12)</f>
        <v>0</v>
      </c>
      <c r="AP12">
        <f>SUM(AF12:AK12)</f>
        <v>0</v>
      </c>
    </row>
    <row r="13" spans="2:55" x14ac:dyDescent="0.35">
      <c r="B13" s="3">
        <v>4</v>
      </c>
      <c r="C13" s="3" t="s">
        <v>57</v>
      </c>
      <c r="D13" s="3" t="s">
        <v>58</v>
      </c>
      <c r="E13" s="3">
        <f>MarcoEsteves!H8+MarcoEsteves!F21+MarcoEsteves!F39</f>
        <v>1</v>
      </c>
      <c r="F13" s="3">
        <f>MarcoEsteves!F8+MarcoEsteves!H21+MarcoEsteves!H39</f>
        <v>2</v>
      </c>
      <c r="G13" s="3">
        <f>E13-F13</f>
        <v>-1</v>
      </c>
      <c r="H13" s="3">
        <f>IF(MarcoEsteves!H8="",0,1)+IF(MarcoEsteves!F21="",0,1)+IF(MarcoEsteves!F39="",0,1)</f>
        <v>1</v>
      </c>
      <c r="I13" s="3">
        <f>IF(MarcoEsteves!H8="",0,IF(MarcoEsteves!H8&gt;MarcoEsteves!F8,3,IF(MarcoEsteves!F8&gt;MarcoEsteves!H8,0,1)))+IF(MarcoEsteves!F21="",0,IF(MarcoEsteves!F21&gt;MarcoEsteves!H21,3,IF(MarcoEsteves!H21&gt;MarcoEsteves!F21,0,1)))+IF(MarcoEsteves!F39="",0,IF(MarcoEsteves!F39&gt;MarcoEsteves!H39,3,IF(MarcoEsteves!H39&gt;MarcoEsteves!F39,0,1)))</f>
        <v>0</v>
      </c>
      <c r="M13">
        <f>IF(MarcoEsteves!F39&gt;MarcoEsteves!H39,1,0)</f>
        <v>0</v>
      </c>
      <c r="O13">
        <f>IF(MarcoEsteves!F21&gt;MarcoEsteves!H21,1,0)</f>
        <v>0</v>
      </c>
      <c r="P13">
        <f>IF(MarcoEsteves!H8&gt;MarcoEsteves!F8,1,0)</f>
        <v>0</v>
      </c>
      <c r="R13">
        <f>SUM(N13:P13)</f>
        <v>0</v>
      </c>
      <c r="S13">
        <f>SUM(L13,M13,P13)</f>
        <v>0</v>
      </c>
      <c r="T13">
        <f>SUM(K13,M13,O13)</f>
        <v>0</v>
      </c>
      <c r="U13">
        <f>SUM(K13:P13)</f>
        <v>0</v>
      </c>
      <c r="W13" s="3">
        <v>4</v>
      </c>
      <c r="X13" s="3" t="s">
        <v>59</v>
      </c>
      <c r="Y13" s="3" t="s">
        <v>60</v>
      </c>
      <c r="Z13" s="3">
        <f>MarcoEsteves!H13+MarcoEsteves!F31+MarcoEsteves!F45</f>
        <v>0</v>
      </c>
      <c r="AA13" s="3">
        <f>MarcoEsteves!F13+MarcoEsteves!H31+MarcoEsteves!H45</f>
        <v>0</v>
      </c>
      <c r="AB13" s="3">
        <f>Z13-AA13</f>
        <v>0</v>
      </c>
      <c r="AC13" s="3">
        <f>IF(MarcoEsteves!H13="",0,1)+IF(MarcoEsteves!F31="",0,1)+IF(MarcoEsteves!F45="",0,1)</f>
        <v>0</v>
      </c>
      <c r="AD13" s="3">
        <f>IF(MarcoEsteves!H13="",0,IF(MarcoEsteves!H13&gt;MarcoEsteves!F13,3,IF(MarcoEsteves!F13&gt;MarcoEsteves!H13,0,1)))+IF(MarcoEsteves!F31="",0,IF(MarcoEsteves!F31&gt;MarcoEsteves!H31,3,IF(MarcoEsteves!H31&gt;MarcoEsteves!F31,0,1)))+IF(MarcoEsteves!F45="",0,IF(MarcoEsteves!F45&gt;MarcoEsteves!H45,3,IF(MarcoEsteves!H45&gt;MarcoEsteves!F45,0,1)))</f>
        <v>0</v>
      </c>
      <c r="AH13">
        <f>IF(MarcoEsteves!F45&gt;MarcoEsteves!H45,1,0)</f>
        <v>0</v>
      </c>
      <c r="AJ13">
        <f>IF(MarcoEsteves!F31&gt;MarcoEsteves!H31,1,0)</f>
        <v>0</v>
      </c>
      <c r="AK13">
        <f>IF(MarcoEsteves!H13&gt;MarcoEsteves!F13,1,0)</f>
        <v>0</v>
      </c>
      <c r="AM13">
        <f>SUM(AI13:AK13)</f>
        <v>0</v>
      </c>
      <c r="AN13">
        <f>SUM(AG13,AH13,AK13)</f>
        <v>0</v>
      </c>
      <c r="AO13">
        <f>SUM(AF13,AH13,AJ13)</f>
        <v>0</v>
      </c>
      <c r="AP13">
        <f>SUM(AF13:AK13)</f>
        <v>0</v>
      </c>
    </row>
    <row r="16" spans="2:55" x14ac:dyDescent="0.35">
      <c r="B16" s="1" t="s">
        <v>61</v>
      </c>
      <c r="C16" s="1" t="s">
        <v>62</v>
      </c>
      <c r="D16" s="1" t="s">
        <v>9</v>
      </c>
      <c r="E16" s="1" t="s">
        <v>10</v>
      </c>
      <c r="F16" s="1" t="s">
        <v>11</v>
      </c>
      <c r="G16" s="1" t="s">
        <v>12</v>
      </c>
      <c r="H16" s="1" t="s">
        <v>13</v>
      </c>
      <c r="I16" s="1" t="s">
        <v>14</v>
      </c>
      <c r="K16" s="6" t="s">
        <v>15</v>
      </c>
      <c r="L16" s="6" t="s">
        <v>16</v>
      </c>
      <c r="M16" s="6" t="s">
        <v>17</v>
      </c>
      <c r="N16" s="6" t="s">
        <v>18</v>
      </c>
      <c r="O16" s="6" t="s">
        <v>19</v>
      </c>
      <c r="P16" s="6" t="s">
        <v>20</v>
      </c>
      <c r="Q16" s="6" t="s">
        <v>21</v>
      </c>
      <c r="R16" s="6" t="s">
        <v>22</v>
      </c>
      <c r="S16" s="6" t="s">
        <v>23</v>
      </c>
      <c r="T16" s="6" t="s">
        <v>24</v>
      </c>
      <c r="U16" s="6" t="s">
        <v>25</v>
      </c>
      <c r="W16" s="1" t="s">
        <v>61</v>
      </c>
      <c r="X16" s="1" t="s">
        <v>63</v>
      </c>
      <c r="Y16" s="1" t="s">
        <v>9</v>
      </c>
      <c r="Z16" s="1" t="s">
        <v>10</v>
      </c>
      <c r="AA16" s="1" t="s">
        <v>11</v>
      </c>
      <c r="AB16" s="1" t="s">
        <v>12</v>
      </c>
      <c r="AC16" s="1" t="s">
        <v>13</v>
      </c>
      <c r="AD16" s="1" t="s">
        <v>14</v>
      </c>
      <c r="AE16" s="2"/>
      <c r="AF16" s="44" t="s">
        <v>15</v>
      </c>
      <c r="AG16" s="43" t="s">
        <v>16</v>
      </c>
      <c r="AH16" s="43" t="s">
        <v>17</v>
      </c>
      <c r="AI16" s="43" t="s">
        <v>18</v>
      </c>
      <c r="AJ16" s="43" t="s">
        <v>19</v>
      </c>
      <c r="AK16" s="43" t="s">
        <v>20</v>
      </c>
      <c r="AL16" s="43" t="s">
        <v>21</v>
      </c>
      <c r="AM16" s="43" t="s">
        <v>22</v>
      </c>
      <c r="AN16" s="43" t="s">
        <v>23</v>
      </c>
      <c r="AO16" s="43" t="s">
        <v>24</v>
      </c>
      <c r="AP16" s="43" t="s">
        <v>25</v>
      </c>
    </row>
    <row r="17" spans="2:42" x14ac:dyDescent="0.35">
      <c r="B17" s="3">
        <v>1</v>
      </c>
      <c r="C17" s="3" t="s">
        <v>64</v>
      </c>
      <c r="D17" s="3" t="s">
        <v>65</v>
      </c>
      <c r="E17" s="3">
        <f>MarcoEsteves!F9+MarcoEsteves!F28+MarcoEsteves!H43</f>
        <v>0</v>
      </c>
      <c r="F17" s="3">
        <f>MarcoEsteves!H9+MarcoEsteves!H28+MarcoEsteves!F43</f>
        <v>0</v>
      </c>
      <c r="G17" s="3">
        <f>E17-F17</f>
        <v>0</v>
      </c>
      <c r="H17" s="3">
        <f>IF(MarcoEsteves!F9="",0,1)+IF(MarcoEsteves!F28="",0,1)+IF(MarcoEsteves!H43="",0,1)</f>
        <v>0</v>
      </c>
      <c r="I17" s="3">
        <f>IF(MarcoEsteves!F9="",0,IF(MarcoEsteves!F9&gt;MarcoEsteves!H9,3,IF(MarcoEsteves!H9&gt;MarcoEsteves!F9,0,1)))+IF(MarcoEsteves!F28="",0,IF(MarcoEsteves!F28&gt;MarcoEsteves!H28,3,IF(MarcoEsteves!H28&gt;MarcoEsteves!F28,0,1)))+IF(MarcoEsteves!F43="",0,IF(MarcoEsteves!H43&gt;MarcoEsteves!F43,3,IF(MarcoEsteves!F43&gt;MarcoEsteves!H43,0,1)))</f>
        <v>0</v>
      </c>
      <c r="K17">
        <f>IF(MarcoEsteves!F9&gt;MarcoEsteves!H9,1,0)</f>
        <v>0</v>
      </c>
      <c r="L17">
        <f>IF(MarcoEsteves!F28&gt;MarcoEsteves!H28,1,0)</f>
        <v>0</v>
      </c>
      <c r="M17">
        <f>IF(MarcoEsteves!H43&gt;MarcoEsteves!F43,1,0)</f>
        <v>0</v>
      </c>
      <c r="Q17">
        <f>SUM(K17:L17,N17)</f>
        <v>0</v>
      </c>
      <c r="S17">
        <f>SUM(L17,M17,P17)</f>
        <v>0</v>
      </c>
      <c r="T17">
        <f>SUM(K17,M17,O17)</f>
        <v>0</v>
      </c>
      <c r="U17">
        <f>SUM(K17:P17)</f>
        <v>0</v>
      </c>
      <c r="W17" s="3">
        <v>1</v>
      </c>
      <c r="X17" s="3" t="s">
        <v>66</v>
      </c>
      <c r="Y17" s="3" t="s">
        <v>67</v>
      </c>
      <c r="Z17" s="3">
        <f>MarcoEsteves!F20+MarcoEsteves!F35+MarcoEsteves!H52</f>
        <v>0</v>
      </c>
      <c r="AA17" s="3">
        <f>MarcoEsteves!H20+MarcoEsteves!H35+MarcoEsteves!F52</f>
        <v>0</v>
      </c>
      <c r="AB17" s="3">
        <f>Z17-AA17</f>
        <v>0</v>
      </c>
      <c r="AC17" s="3">
        <f>IF(MarcoEsteves!F20="",0,1)+IF(MarcoEsteves!F35="",0,1)+IF(MarcoEsteves!H52="",0,1)</f>
        <v>0</v>
      </c>
      <c r="AD17" s="3">
        <f>IF(MarcoEsteves!F20="",0,IF(MarcoEsteves!F20&gt;MarcoEsteves!H20,3,IF(MarcoEsteves!H20&gt;MarcoEsteves!F20,0,1)))+IF(MarcoEsteves!F35="",0,IF(MarcoEsteves!F35&gt;MarcoEsteves!H35,3,IF(MarcoEsteves!H35&gt;MarcoEsteves!F35,0,1)))+IF(MarcoEsteves!F52="",0,IF(MarcoEsteves!H52&gt;MarcoEsteves!F52,3,IF(MarcoEsteves!F52&gt;MarcoEsteves!H52,0,1)))</f>
        <v>0</v>
      </c>
      <c r="AF17">
        <f>IF(MarcoEsteves!F20&gt;MarcoEsteves!H20,1,0)</f>
        <v>0</v>
      </c>
      <c r="AG17">
        <f>IF(MarcoEsteves!F35&gt;MarcoEsteves!H35,1,0)</f>
        <v>0</v>
      </c>
      <c r="AH17">
        <f>IF(MarcoEsteves!H52&gt;MarcoEsteves!F52,1,0)</f>
        <v>0</v>
      </c>
      <c r="AL17">
        <f>SUM(AF17:AG17,AI17)</f>
        <v>0</v>
      </c>
      <c r="AN17">
        <f>SUM(AG17,AH17,AK17)</f>
        <v>0</v>
      </c>
      <c r="AO17">
        <f>SUM(AF17,AH17,AJ17)</f>
        <v>0</v>
      </c>
      <c r="AP17">
        <f>SUM(AF17:AK17)</f>
        <v>0</v>
      </c>
    </row>
    <row r="18" spans="2:42" x14ac:dyDescent="0.35">
      <c r="B18" s="3">
        <v>2</v>
      </c>
      <c r="C18" s="3" t="s">
        <v>68</v>
      </c>
      <c r="D18" s="3" t="s">
        <v>69</v>
      </c>
      <c r="E18" s="3">
        <f>MarcoEsteves!H9+MarcoEsteves!H26+MarcoEsteves!F44</f>
        <v>0</v>
      </c>
      <c r="F18" s="3">
        <f>MarcoEsteves!F9+MarcoEsteves!F26+MarcoEsteves!H44</f>
        <v>0</v>
      </c>
      <c r="G18" s="3">
        <f>E18-F18</f>
        <v>0</v>
      </c>
      <c r="H18" s="3">
        <f>IF(MarcoEsteves!H9="",0,1)+IF(MarcoEsteves!H26="",0,1)+IF(MarcoEsteves!F44="",0,1)</f>
        <v>0</v>
      </c>
      <c r="I18" s="3">
        <f>IF(MarcoEsteves!H9="",0,IF(MarcoEsteves!H9&gt;MarcoEsteves!F9,3,IF(MarcoEsteves!F9&gt;MarcoEsteves!H9,0,1)))+IF(MarcoEsteves!H26="",0,IF(MarcoEsteves!H26&gt;MarcoEsteves!F26,3,IF(MarcoEsteves!F26&gt;MarcoEsteves!H26,0,1)))+IF(MarcoEsteves!F44="",0,IF(MarcoEsteves!F44&gt;MarcoEsteves!H44,3,IF(MarcoEsteves!H44&gt;MarcoEsteves!F44,0,1)))</f>
        <v>0</v>
      </c>
      <c r="K18">
        <f>IF(MarcoEsteves!H9&gt;MarcoEsteves!F9,1,0)</f>
        <v>0</v>
      </c>
      <c r="N18">
        <f>IF(MarcoEsteves!F44&gt;MarcoEsteves!H44,1,0)</f>
        <v>0</v>
      </c>
      <c r="O18">
        <f>IF(MarcoEsteves!H26&gt;MarcoEsteves!F26,1,0)</f>
        <v>0</v>
      </c>
      <c r="Q18">
        <f>SUM(K18:L18,N18)</f>
        <v>0</v>
      </c>
      <c r="R18">
        <f>SUM(N18:P18)</f>
        <v>0</v>
      </c>
      <c r="T18">
        <f>SUM(K18,M18,O18)</f>
        <v>0</v>
      </c>
      <c r="U18">
        <f>SUM(K18:P18)</f>
        <v>0</v>
      </c>
      <c r="W18" s="3">
        <v>2</v>
      </c>
      <c r="X18" s="3" t="s">
        <v>70</v>
      </c>
      <c r="Y18" s="3" t="s">
        <v>71</v>
      </c>
      <c r="Z18" s="3">
        <f>MarcoEsteves!H20+MarcoEsteves!H33+MarcoEsteves!F51</f>
        <v>0</v>
      </c>
      <c r="AA18" s="3">
        <f>MarcoEsteves!F20+MarcoEsteves!F33+MarcoEsteves!H51</f>
        <v>0</v>
      </c>
      <c r="AB18" s="3">
        <f>Z18-AA18</f>
        <v>0</v>
      </c>
      <c r="AC18" s="3">
        <f>IF(MarcoEsteves!H20="",0,1)+IF(MarcoEsteves!H33="",0,1)+IF(MarcoEsteves!F51="",0,1)</f>
        <v>0</v>
      </c>
      <c r="AD18" s="3">
        <f>IF(MarcoEsteves!H20="",0,IF(MarcoEsteves!H20&gt;MarcoEsteves!F20,3,IF(MarcoEsteves!F20&gt;MarcoEsteves!H20,0,1)))+IF(MarcoEsteves!H33="",0,IF(MarcoEsteves!H33&gt;MarcoEsteves!F33,3,IF(MarcoEsteves!F33&gt;MarcoEsteves!H33,0,1)))+IF(MarcoEsteves!F51="",0,IF(MarcoEsteves!F51&gt;MarcoEsteves!H51,3,IF(MarcoEsteves!H51&gt;MarcoEsteves!F51,0,1)))</f>
        <v>0</v>
      </c>
      <c r="AF18">
        <f>IF(MarcoEsteves!H20&gt;MarcoEsteves!F20,1,0)</f>
        <v>0</v>
      </c>
      <c r="AI18">
        <f>IF(MarcoEsteves!F51&gt;MarcoEsteves!H51,1,0)</f>
        <v>0</v>
      </c>
      <c r="AJ18">
        <f>IF(MarcoEsteves!H33&gt;MarcoEsteves!F33,1,0)</f>
        <v>0</v>
      </c>
      <c r="AL18">
        <f>SUM(AF18:AG18,AI18)</f>
        <v>0</v>
      </c>
      <c r="AM18">
        <f>SUM(AI18:AK18)</f>
        <v>0</v>
      </c>
      <c r="AO18">
        <f>SUM(AF18,AH18,AJ18)</f>
        <v>0</v>
      </c>
      <c r="AP18">
        <f>SUM(AF18:AK18)</f>
        <v>0</v>
      </c>
    </row>
    <row r="19" spans="2:42" x14ac:dyDescent="0.35">
      <c r="B19" s="3">
        <v>3</v>
      </c>
      <c r="C19" s="3" t="s">
        <v>72</v>
      </c>
      <c r="D19" s="3" t="s">
        <v>73</v>
      </c>
      <c r="E19" s="3">
        <f>MarcoEsteves!F11+MarcoEsteves!H28+MarcoEsteves!H44</f>
        <v>0</v>
      </c>
      <c r="F19" s="3">
        <f>MarcoEsteves!H11+MarcoEsteves!F28+MarcoEsteves!F44</f>
        <v>0</v>
      </c>
      <c r="G19" s="3">
        <f>E19-F19</f>
        <v>0</v>
      </c>
      <c r="H19" s="3">
        <f>IF(MarcoEsteves!F11="",0,1)+IF(MarcoEsteves!H28="",0,1)+IF(MarcoEsteves!H44="",0,1)</f>
        <v>0</v>
      </c>
      <c r="I19" s="3">
        <f>IF(MarcoEsteves!F11="",0,IF(MarcoEsteves!F11&gt;MarcoEsteves!H11,3,IF(MarcoEsteves!H11&gt;MarcoEsteves!F11,0,1)))+IF(MarcoEsteves!H28="",0,IF(MarcoEsteves!H28&gt;MarcoEsteves!F28,3,IF(MarcoEsteves!F28&gt;MarcoEsteves!H28,0,1)))+IF(MarcoEsteves!F44="",0,IF(MarcoEsteves!H44&gt;MarcoEsteves!F44,3,IF(MarcoEsteves!F44&gt;MarcoEsteves!H44,0,1)))</f>
        <v>0</v>
      </c>
      <c r="L19">
        <f>IF(MarcoEsteves!H28&gt;MarcoEsteves!F28,1,0)</f>
        <v>0</v>
      </c>
      <c r="N19">
        <f>IF(MarcoEsteves!H44&gt;MarcoEsteves!F44,1,0)</f>
        <v>0</v>
      </c>
      <c r="P19">
        <f>IF(MarcoEsteves!F11&gt;MarcoEsteves!H11,1,0)</f>
        <v>0</v>
      </c>
      <c r="Q19">
        <f>SUM(K19:L19,N19)</f>
        <v>0</v>
      </c>
      <c r="R19">
        <f>SUM(N19:P19)</f>
        <v>0</v>
      </c>
      <c r="S19">
        <f>SUM(L19,M19,P19)</f>
        <v>0</v>
      </c>
      <c r="U19">
        <f>SUM(K19:P19)</f>
        <v>0</v>
      </c>
      <c r="W19" s="3">
        <v>3</v>
      </c>
      <c r="X19" s="3" t="s">
        <v>74</v>
      </c>
      <c r="Y19" s="3" t="s">
        <v>75</v>
      </c>
      <c r="Z19" s="3">
        <f>MarcoEsteves!F17+MarcoEsteves!H35+MarcoEsteves!H51</f>
        <v>0</v>
      </c>
      <c r="AA19" s="3">
        <f>MarcoEsteves!H17+MarcoEsteves!F35+MarcoEsteves!F51</f>
        <v>0</v>
      </c>
      <c r="AB19" s="3">
        <f>Z19-AA19</f>
        <v>0</v>
      </c>
      <c r="AC19" s="3">
        <f>IF(MarcoEsteves!F17="",0,1)+IF(MarcoEsteves!H35="",0,1)+IF(MarcoEsteves!H51="",0,1)</f>
        <v>0</v>
      </c>
      <c r="AD19" s="3">
        <f>IF(MarcoEsteves!F17="",0,IF(MarcoEsteves!F17&gt;MarcoEsteves!H17,3,IF(MarcoEsteves!H17&gt;MarcoEsteves!F17,0,1)))+IF(MarcoEsteves!H35="",0,IF(MarcoEsteves!H35&gt;MarcoEsteves!F35,3,IF(MarcoEsteves!F35&gt;MarcoEsteves!H35,0,1)))+IF(MarcoEsteves!F51="",0,IF(MarcoEsteves!H51&gt;MarcoEsteves!F51,3,IF(MarcoEsteves!F51&gt;MarcoEsteves!H51,0,1)))</f>
        <v>0</v>
      </c>
      <c r="AG19">
        <f>IF(MarcoEsteves!H35&gt;MarcoEsteves!F35,1,0)</f>
        <v>0</v>
      </c>
      <c r="AI19">
        <f>IF(MarcoEsteves!H51&gt;MarcoEsteves!F51,1,0)</f>
        <v>0</v>
      </c>
      <c r="AK19">
        <f>IF(MarcoEsteves!F17&gt;MarcoEsteves!H17,1,0)</f>
        <v>0</v>
      </c>
      <c r="AL19">
        <f>SUM(AF19:AG19,AI19)</f>
        <v>0</v>
      </c>
      <c r="AM19">
        <f>SUM(AI19:AK19)</f>
        <v>0</v>
      </c>
      <c r="AN19">
        <f>SUM(AG19,AH19,AK19)</f>
        <v>0</v>
      </c>
      <c r="AP19">
        <f>SUM(AF19:AK19)</f>
        <v>0</v>
      </c>
    </row>
    <row r="20" spans="2:42" x14ac:dyDescent="0.35">
      <c r="B20" s="3">
        <v>4</v>
      </c>
      <c r="C20" s="3" t="s">
        <v>76</v>
      </c>
      <c r="D20" s="3" t="s">
        <v>77</v>
      </c>
      <c r="E20" s="3">
        <f>MarcoEsteves!H11+MarcoEsteves!F26+MarcoEsteves!F43</f>
        <v>0</v>
      </c>
      <c r="F20" s="3">
        <f>MarcoEsteves!F11+MarcoEsteves!H26+MarcoEsteves!H43</f>
        <v>0</v>
      </c>
      <c r="G20" s="3">
        <f>E20-F20</f>
        <v>0</v>
      </c>
      <c r="H20" s="3">
        <f>IF(MarcoEsteves!H11="",0,1)+IF(MarcoEsteves!F26="",0,1)+IF(MarcoEsteves!F43="",0,1)</f>
        <v>0</v>
      </c>
      <c r="I20" s="3">
        <f>IF(MarcoEsteves!H11="",0,IF(MarcoEsteves!H11&gt;MarcoEsteves!F11,3,IF(MarcoEsteves!F11&gt;MarcoEsteves!H11,0,1)))+IF(MarcoEsteves!F26="",0,IF(MarcoEsteves!F26&gt;MarcoEsteves!H26,3,IF(MarcoEsteves!H26&gt;MarcoEsteves!F26,0,1)))+IF(MarcoEsteves!F43="",0,IF(MarcoEsteves!F43&gt;MarcoEsteves!H43,3,IF(MarcoEsteves!H43&gt;MarcoEsteves!F43,0,1)))</f>
        <v>0</v>
      </c>
      <c r="M20">
        <f>IF(MarcoEsteves!F43&gt;MarcoEsteves!H43,1,0)</f>
        <v>0</v>
      </c>
      <c r="O20">
        <f>IF(MarcoEsteves!F26&gt;MarcoEsteves!H26,1,0)</f>
        <v>0</v>
      </c>
      <c r="P20">
        <f>IF(MarcoEsteves!H11&gt;MarcoEsteves!F11,1,0)</f>
        <v>0</v>
      </c>
      <c r="R20">
        <f>SUM(N20:P20)</f>
        <v>0</v>
      </c>
      <c r="S20">
        <f>SUM(L20,M20,P20)</f>
        <v>0</v>
      </c>
      <c r="T20">
        <f>SUM(K20,M20,O20)</f>
        <v>0</v>
      </c>
      <c r="U20">
        <f>SUM(K20:P20)</f>
        <v>0</v>
      </c>
      <c r="W20" s="3">
        <v>4</v>
      </c>
      <c r="X20" s="3" t="s">
        <v>78</v>
      </c>
      <c r="Y20" s="3" t="s">
        <v>79</v>
      </c>
      <c r="Z20" s="3">
        <f>MarcoEsteves!H17+MarcoEsteves!F33+MarcoEsteves!F52</f>
        <v>0</v>
      </c>
      <c r="AA20" s="3">
        <f>MarcoEsteves!F17+MarcoEsteves!H33+MarcoEsteves!H52</f>
        <v>0</v>
      </c>
      <c r="AB20" s="3">
        <f>Z20-AA20</f>
        <v>0</v>
      </c>
      <c r="AC20" s="3">
        <f>IF(MarcoEsteves!H17="",0,1)+IF(MarcoEsteves!F33="",0,1)+IF(MarcoEsteves!F52="",0,1)</f>
        <v>0</v>
      </c>
      <c r="AD20" s="3">
        <f>IF(MarcoEsteves!H17="",0,IF(MarcoEsteves!H17&gt;MarcoEsteves!F17,3,IF(MarcoEsteves!F17&gt;MarcoEsteves!H17,0,1)))+IF(MarcoEsteves!F33="",0,IF(MarcoEsteves!F33&gt;MarcoEsteves!H33,3,IF(MarcoEsteves!H33&gt;MarcoEsteves!F33,0,1)))+IF(MarcoEsteves!F52="",0,IF(MarcoEsteves!F52&gt;MarcoEsteves!H52,3,IF(MarcoEsteves!H52&gt;MarcoEsteves!F52,0,1)))</f>
        <v>0</v>
      </c>
      <c r="AH20">
        <f>IF(MarcoEsteves!F52&gt;MarcoEsteves!H52,1,0)</f>
        <v>0</v>
      </c>
      <c r="AJ20">
        <f>IF(MarcoEsteves!F33&gt;MarcoEsteves!H33,1,0)</f>
        <v>0</v>
      </c>
      <c r="AK20">
        <f>IF(MarcoEsteves!H17&gt;MarcoEsteves!F17,1,0)</f>
        <v>0</v>
      </c>
      <c r="AM20">
        <f>SUM(AI20:AK20)</f>
        <v>0</v>
      </c>
      <c r="AN20">
        <f>SUM(AG20,AH20,AK20)</f>
        <v>0</v>
      </c>
      <c r="AO20">
        <f>SUM(AF20,AH20,AJ20)</f>
        <v>0</v>
      </c>
      <c r="AP20">
        <f>SUM(AF20:AK20)</f>
        <v>0</v>
      </c>
    </row>
    <row r="23" spans="2:42" x14ac:dyDescent="0.35">
      <c r="B23" s="1" t="s">
        <v>61</v>
      </c>
      <c r="C23" s="1" t="s">
        <v>80</v>
      </c>
      <c r="D23" s="1" t="s">
        <v>9</v>
      </c>
      <c r="E23" s="1" t="s">
        <v>10</v>
      </c>
      <c r="F23" s="1" t="s">
        <v>11</v>
      </c>
      <c r="G23" s="1" t="s">
        <v>12</v>
      </c>
      <c r="H23" s="1" t="s">
        <v>13</v>
      </c>
      <c r="I23" s="1" t="s">
        <v>14</v>
      </c>
      <c r="K23" s="6" t="s">
        <v>15</v>
      </c>
      <c r="L23" s="6" t="s">
        <v>16</v>
      </c>
      <c r="M23" s="6" t="s">
        <v>17</v>
      </c>
      <c r="N23" s="6" t="s">
        <v>18</v>
      </c>
      <c r="O23" s="6" t="s">
        <v>19</v>
      </c>
      <c r="P23" s="6" t="s">
        <v>20</v>
      </c>
      <c r="Q23" s="6" t="s">
        <v>21</v>
      </c>
      <c r="R23" s="6" t="s">
        <v>22</v>
      </c>
      <c r="S23" s="6" t="s">
        <v>23</v>
      </c>
      <c r="T23" s="6" t="s">
        <v>24</v>
      </c>
      <c r="U23" s="6" t="s">
        <v>25</v>
      </c>
      <c r="W23" s="1" t="s">
        <v>7</v>
      </c>
      <c r="X23" s="1" t="s">
        <v>81</v>
      </c>
      <c r="Y23" s="1" t="s">
        <v>9</v>
      </c>
      <c r="Z23" s="1" t="s">
        <v>10</v>
      </c>
      <c r="AA23" s="1" t="s">
        <v>11</v>
      </c>
      <c r="AB23" s="1" t="s">
        <v>12</v>
      </c>
      <c r="AC23" s="1" t="s">
        <v>13</v>
      </c>
      <c r="AD23" s="1" t="s">
        <v>14</v>
      </c>
      <c r="AE23" s="2"/>
      <c r="AF23" s="44" t="s">
        <v>15</v>
      </c>
      <c r="AG23" s="43" t="s">
        <v>16</v>
      </c>
      <c r="AH23" s="43" t="s">
        <v>17</v>
      </c>
      <c r="AI23" s="43" t="s">
        <v>18</v>
      </c>
      <c r="AJ23" s="43" t="s">
        <v>19</v>
      </c>
      <c r="AK23" s="43" t="s">
        <v>20</v>
      </c>
      <c r="AL23" s="43" t="s">
        <v>21</v>
      </c>
      <c r="AM23" s="43" t="s">
        <v>22</v>
      </c>
      <c r="AN23" s="43" t="s">
        <v>23</v>
      </c>
      <c r="AO23" s="43" t="s">
        <v>24</v>
      </c>
      <c r="AP23" s="43" t="s">
        <v>25</v>
      </c>
    </row>
    <row r="24" spans="2:42" x14ac:dyDescent="0.35">
      <c r="B24" s="3">
        <v>1</v>
      </c>
      <c r="C24" s="3" t="s">
        <v>82</v>
      </c>
      <c r="D24" s="3" t="s">
        <v>83</v>
      </c>
      <c r="E24" s="3">
        <f>MarcoEsteves!F12+MarcoEsteves!F27+MarcoEsteves!H42</f>
        <v>0</v>
      </c>
      <c r="F24" s="3">
        <f>MarcoEsteves!H12+MarcoEsteves!H27+MarcoEsteves!F42</f>
        <v>0</v>
      </c>
      <c r="G24" s="3">
        <f>E24-F24</f>
        <v>0</v>
      </c>
      <c r="H24" s="3">
        <f>IF(MarcoEsteves!F12="",0,1)+IF(MarcoEsteves!F27="",0,1)+IF(MarcoEsteves!H42="",0,1)</f>
        <v>0</v>
      </c>
      <c r="I24" s="3">
        <f>IF(MarcoEsteves!F12="",0,IF(MarcoEsteves!F12&gt;MarcoEsteves!H12,3,IF(MarcoEsteves!H12&gt;MarcoEsteves!F12,0,1)))+IF(MarcoEsteves!F27="",0,IF(MarcoEsteves!F27&gt;MarcoEsteves!H27,3,IF(MarcoEsteves!H27&gt;MarcoEsteves!F27,0,1)))+IF(MarcoEsteves!F42="",0,IF(MarcoEsteves!H42&gt;MarcoEsteves!F42,3,IF(MarcoEsteves!F42&gt;MarcoEsteves!H42,0,1)))</f>
        <v>0</v>
      </c>
      <c r="K24">
        <f>IF(MarcoEsteves!F27&gt;MarcoEsteves!H27,1,0)</f>
        <v>0</v>
      </c>
      <c r="L24">
        <f>IF(MarcoEsteves!H42&gt;MarcoEsteves!F42,1,0)</f>
        <v>0</v>
      </c>
      <c r="M24">
        <f>IF(MarcoEsteves!F12&gt;MarcoEsteves!H12,1,0)</f>
        <v>0</v>
      </c>
      <c r="Q24">
        <f>SUM(K24:L24,N24)</f>
        <v>0</v>
      </c>
      <c r="S24">
        <f>SUM(L24,M24,P24)</f>
        <v>0</v>
      </c>
      <c r="T24">
        <f>SUM(K24,M24,O24)</f>
        <v>0</v>
      </c>
      <c r="U24">
        <f>SUM(K24:P24)</f>
        <v>0</v>
      </c>
      <c r="W24" s="3">
        <v>1</v>
      </c>
      <c r="X24" s="3" t="s">
        <v>84</v>
      </c>
      <c r="Y24" s="3" t="s">
        <v>85</v>
      </c>
      <c r="Z24" s="3">
        <f>MarcoEsteves!F19+MarcoEsteves!F36+MarcoEsteves!H50</f>
        <v>0</v>
      </c>
      <c r="AA24" s="3">
        <f>MarcoEsteves!H19+MarcoEsteves!H36+MarcoEsteves!F50</f>
        <v>0</v>
      </c>
      <c r="AB24" s="3">
        <f>Z24-AA24</f>
        <v>0</v>
      </c>
      <c r="AC24" s="3">
        <f>IF(MarcoEsteves!F19="",0,1)+IF(MarcoEsteves!F36="",0,1)+IF(MarcoEsteves!H50="",0,1)</f>
        <v>0</v>
      </c>
      <c r="AD24" s="3">
        <f>IF(MarcoEsteves!F19="",0,IF(MarcoEsteves!F19&gt;MarcoEsteves!H19,3,IF(MarcoEsteves!H19&gt;MarcoEsteves!F19,0,1)))+IF(MarcoEsteves!F36="",0,IF(MarcoEsteves!F36&gt;MarcoEsteves!H36,3,IF(MarcoEsteves!H36&gt;MarcoEsteves!F36,0,1)))+IF(MarcoEsteves!F50="",0,IF(MarcoEsteves!H50&gt;MarcoEsteves!F50,3,IF(MarcoEsteves!F50&gt;MarcoEsteves!H50,0,1)))</f>
        <v>0</v>
      </c>
      <c r="AF24">
        <f>IF(MarcoEsteves!F19&gt;MarcoEsteves!H19,1,0)</f>
        <v>0</v>
      </c>
      <c r="AG24">
        <f>IF(MarcoEsteves!F36&gt;MarcoEsteves!H36,1,0)</f>
        <v>0</v>
      </c>
      <c r="AH24">
        <f>IF(MarcoEsteves!H50&gt;MarcoEsteves!F50,1,0)</f>
        <v>0</v>
      </c>
      <c r="AL24">
        <f>SUM(AF24:AG24,AI24)</f>
        <v>0</v>
      </c>
      <c r="AN24">
        <f>SUM(AG24,AH24,AK24)</f>
        <v>0</v>
      </c>
      <c r="AO24">
        <f>SUM(AF24,AH24,AJ24)</f>
        <v>0</v>
      </c>
      <c r="AP24">
        <f>SUM(AF24:AK24)</f>
        <v>0</v>
      </c>
    </row>
    <row r="25" spans="2:42" x14ac:dyDescent="0.35">
      <c r="B25" s="3">
        <v>2</v>
      </c>
      <c r="C25" s="3" t="s">
        <v>86</v>
      </c>
      <c r="D25" s="3" t="s">
        <v>87</v>
      </c>
      <c r="E25" s="3">
        <f>MarcoEsteves!F10+MarcoEsteves!H27+MarcoEsteves!H41</f>
        <v>0</v>
      </c>
      <c r="F25" s="3">
        <f>MarcoEsteves!H10+MarcoEsteves!F27+MarcoEsteves!F41</f>
        <v>0</v>
      </c>
      <c r="G25" s="3">
        <f>E25-F25</f>
        <v>0</v>
      </c>
      <c r="H25" s="3">
        <f>IF(MarcoEsteves!F10="",0,1)+IF(MarcoEsteves!H27="",0,1)+IF(MarcoEsteves!H41="",0,1)</f>
        <v>0</v>
      </c>
      <c r="I25" s="3">
        <f>IF(MarcoEsteves!H10="",0,IF(MarcoEsteves!H10&gt;MarcoEsteves!F10,3,IF(MarcoEsteves!F10&gt;MarcoEsteves!H10,0,1)))+IF(MarcoEsteves!H27="",0,IF(MarcoEsteves!H27&gt;MarcoEsteves!F27,3,IF(MarcoEsteves!F27&gt;MarcoEsteves!H27,0,1)))+IF(MarcoEsteves!F41="",0,IF(MarcoEsteves!F41&gt;MarcoEsteves!H41,3,IF(MarcoEsteves!H41&gt;MarcoEsteves!F41,0,1)))</f>
        <v>0</v>
      </c>
      <c r="K25">
        <f>IF(MarcoEsteves!H27&gt;MarcoEsteves!F27,1,0)</f>
        <v>0</v>
      </c>
      <c r="N25">
        <f>IF(MarcoEsteves!F10&gt;MarcoEsteves!H10,1,0)</f>
        <v>0</v>
      </c>
      <c r="O25">
        <f>IF(MarcoEsteves!H41&gt;MarcoEsteves!F41,1,0)</f>
        <v>0</v>
      </c>
      <c r="Q25">
        <f>SUM(K25:L25,N25)</f>
        <v>0</v>
      </c>
      <c r="R25">
        <f>SUM(N25:P25)</f>
        <v>0</v>
      </c>
      <c r="T25">
        <f>SUM(K25,M25,O25)</f>
        <v>0</v>
      </c>
      <c r="U25">
        <f>SUM(K25:P25)</f>
        <v>0</v>
      </c>
      <c r="W25" s="3">
        <v>2</v>
      </c>
      <c r="X25" s="3" t="s">
        <v>88</v>
      </c>
      <c r="Y25" s="3" t="s">
        <v>89</v>
      </c>
      <c r="Z25" s="3">
        <f>MarcoEsteves!H19+MarcoEsteves!H34+MarcoEsteves!F49</f>
        <v>0</v>
      </c>
      <c r="AA25" s="3">
        <f>MarcoEsteves!F19+MarcoEsteves!F34+MarcoEsteves!H49</f>
        <v>0</v>
      </c>
      <c r="AB25" s="3">
        <f>Z25-AA25</f>
        <v>0</v>
      </c>
      <c r="AC25" s="3">
        <f>IF(MarcoEsteves!H19="",0,1)+IF(MarcoEsteves!H34="",0,1)+IF(MarcoEsteves!F49="",0,1)</f>
        <v>0</v>
      </c>
      <c r="AD25" s="3">
        <f>IF(MarcoEsteves!H19="",0,IF(MarcoEsteves!H19&gt;MarcoEsteves!F19,3,IF(MarcoEsteves!F19&gt;MarcoEsteves!H19,0,1)))+IF(MarcoEsteves!H34="",0,IF(MarcoEsteves!H34&gt;MarcoEsteves!F34,3,IF(MarcoEsteves!F34&gt;MarcoEsteves!H34,0,1)))+IF(MarcoEsteves!F49="",0,IF(MarcoEsteves!F49&gt;MarcoEsteves!H49,3,IF(MarcoEsteves!H49&gt;MarcoEsteves!F49,0,1)))</f>
        <v>0</v>
      </c>
      <c r="AF25">
        <f>IF(MarcoEsteves!H19&gt;MarcoEsteves!F19,1,0)</f>
        <v>0</v>
      </c>
      <c r="AI25">
        <f>IF(MarcoEsteves!F49&gt;MarcoEsteves!H49,1,0)</f>
        <v>0</v>
      </c>
      <c r="AJ25">
        <f>IF(MarcoEsteves!H34&gt;MarcoEsteves!F34,1,0)</f>
        <v>0</v>
      </c>
      <c r="AL25">
        <f>SUM(AF25:AG25,AI25)</f>
        <v>0</v>
      </c>
      <c r="AM25">
        <f>SUM(AI25:AK25)</f>
        <v>0</v>
      </c>
      <c r="AO25">
        <f>SUM(AF25,AH25,AJ25)</f>
        <v>0</v>
      </c>
      <c r="AP25">
        <f>SUM(AF25:AK25)</f>
        <v>0</v>
      </c>
    </row>
    <row r="26" spans="2:42" x14ac:dyDescent="0.35">
      <c r="B26" s="3">
        <v>3</v>
      </c>
      <c r="C26" s="3" t="s">
        <v>90</v>
      </c>
      <c r="D26" s="3" t="s">
        <v>91</v>
      </c>
      <c r="E26" s="3">
        <f>MarcoEsteves!H10+MarcoEsteves!F25+MarcoEsteves!F42</f>
        <v>0</v>
      </c>
      <c r="F26" s="3">
        <f>MarcoEsteves!F10+MarcoEsteves!H25+MarcoEsteves!H42</f>
        <v>0</v>
      </c>
      <c r="G26" s="3">
        <f>E26-F26</f>
        <v>0</v>
      </c>
      <c r="H26" s="3">
        <f>IF(MarcoEsteves!H10="",0,1)+IF(MarcoEsteves!F25="",0,1)+IF(MarcoEsteves!F42="",0,1)</f>
        <v>0</v>
      </c>
      <c r="I26" s="3">
        <f>IF(MarcoEsteves!H10="",0,IF(MarcoEsteves!H10&gt;MarcoEsteves!F10,3,IF(MarcoEsteves!F10&gt;MarcoEsteves!H10,0,1)))+IF(MarcoEsteves!F25="",0,IF(MarcoEsteves!F25&gt;MarcoEsteves!H25,3,IF(MarcoEsteves!H25&gt;MarcoEsteves!F25,0,1)))+IF(MarcoEsteves!F42="",0,IF(MarcoEsteves!F42&gt;MarcoEsteves!H42,3,IF(MarcoEsteves!H42&gt;MarcoEsteves!F42,0,1)))</f>
        <v>0</v>
      </c>
      <c r="L26">
        <f>IF(MarcoEsteves!F42&gt;MarcoEsteves!H42,1,0)</f>
        <v>0</v>
      </c>
      <c r="N26">
        <f>IF(MarcoEsteves!H10&gt;MarcoEsteves!F10,1,0)</f>
        <v>0</v>
      </c>
      <c r="P26">
        <f>IF(MarcoEsteves!F25&gt;MarcoEsteves!H25,1,0)</f>
        <v>0</v>
      </c>
      <c r="Q26">
        <f>SUM(K26:L26,N26)</f>
        <v>0</v>
      </c>
      <c r="R26">
        <f>SUM(N26:P26)</f>
        <v>0</v>
      </c>
      <c r="S26">
        <f>SUM(L26,M26,P26)</f>
        <v>0</v>
      </c>
      <c r="U26">
        <f>SUM(K26:P26)</f>
        <v>0</v>
      </c>
      <c r="W26" s="3">
        <v>3</v>
      </c>
      <c r="X26" s="3" t="s">
        <v>92</v>
      </c>
      <c r="Y26" s="3" t="s">
        <v>93</v>
      </c>
      <c r="Z26" s="3">
        <f>MarcoEsteves!F18+MarcoEsteves!H36+MarcoEsteves!H49</f>
        <v>0</v>
      </c>
      <c r="AA26" s="3">
        <f>MarcoEsteves!H18+MarcoEsteves!F36+MarcoEsteves!F49</f>
        <v>0</v>
      </c>
      <c r="AB26" s="3">
        <f>Z26-AA26</f>
        <v>0</v>
      </c>
      <c r="AC26" s="3">
        <f>IF(MarcoEsteves!F18="",0,1)+IF(MarcoEsteves!H36="",0,1)+IF(MarcoEsteves!H49="",0,1)</f>
        <v>0</v>
      </c>
      <c r="AD26" s="3">
        <f>IF(MarcoEsteves!F18="",0,IF(MarcoEsteves!F18&gt;MarcoEsteves!H18,3,IF(MarcoEsteves!H18&gt;MarcoEsteves!F18,0,1)))+IF(MarcoEsteves!H36="",0,IF(MarcoEsteves!H36&gt;MarcoEsteves!F36,3,IF(MarcoEsteves!F36&gt;MarcoEsteves!H36,0,1)))+IF(MarcoEsteves!F49="",0,IF(MarcoEsteves!H49&gt;MarcoEsteves!F49,3,IF(MarcoEsteves!F49&gt;MarcoEsteves!H49,0,1)))</f>
        <v>0</v>
      </c>
      <c r="AG26">
        <f>IF(MarcoEsteves!H36&gt;MarcoEsteves!F36,1,0)</f>
        <v>0</v>
      </c>
      <c r="AI26">
        <f>IF(MarcoEsteves!H49&gt;MarcoEsteves!F49,1,0)</f>
        <v>0</v>
      </c>
      <c r="AK26">
        <f>IF(MarcoEsteves!F18&gt;MarcoEsteves!H18,1,0)</f>
        <v>0</v>
      </c>
      <c r="AL26">
        <f>SUM(AF26:AG26,AI26)</f>
        <v>0</v>
      </c>
      <c r="AM26">
        <f>SUM(AI26:AK26)</f>
        <v>0</v>
      </c>
      <c r="AN26">
        <f>SUM(AG26,AH26,AK26)</f>
        <v>0</v>
      </c>
      <c r="AP26">
        <f>SUM(AF26:AK26)</f>
        <v>0</v>
      </c>
    </row>
    <row r="27" spans="2:42" x14ac:dyDescent="0.35">
      <c r="B27" s="3">
        <v>4</v>
      </c>
      <c r="C27" s="3" t="s">
        <v>94</v>
      </c>
      <c r="D27" s="3" t="s">
        <v>95</v>
      </c>
      <c r="E27" s="3">
        <f>MarcoEsteves!H12+MarcoEsteves!H25+MarcoEsteves!F41</f>
        <v>0</v>
      </c>
      <c r="F27" s="3">
        <f>MarcoEsteves!F12+MarcoEsteves!F25+MarcoEsteves!H41</f>
        <v>0</v>
      </c>
      <c r="G27" s="3">
        <f>E27-F27</f>
        <v>0</v>
      </c>
      <c r="H27" s="3">
        <f>IF(MarcoEsteves!H12="",0,1)+IF(MarcoEsteves!H25="",0,1)+IF(MarcoEsteves!F41="",0,1)</f>
        <v>0</v>
      </c>
      <c r="I27" s="3">
        <f>IF(MarcoEsteves!H12="",0,IF(MarcoEsteves!H12&gt;MarcoEsteves!F12,3,IF(MarcoEsteves!F12&gt;MarcoEsteves!H12,0,1)))+IF(MarcoEsteves!H25="",0,IF(MarcoEsteves!H25&gt;MarcoEsteves!F25,3,IF(MarcoEsteves!F25&gt;MarcoEsteves!H25,0,1)))+IF(MarcoEsteves!F41="",0,IF(MarcoEsteves!F41&gt;MarcoEsteves!H41,3,IF(MarcoEsteves!H41&gt;MarcoEsteves!F41,0,1)))</f>
        <v>0</v>
      </c>
      <c r="M27">
        <f>IF(MarcoEsteves!H12&gt;MarcoEsteves!F12,1,0)</f>
        <v>0</v>
      </c>
      <c r="O27">
        <f>IF(MarcoEsteves!F41&gt;MarcoEsteves!H41,1,0)</f>
        <v>0</v>
      </c>
      <c r="P27">
        <f>IF(MarcoEsteves!H25&gt;MarcoEsteves!F25,1,0)</f>
        <v>0</v>
      </c>
      <c r="R27">
        <f>SUM(N27:P27)</f>
        <v>0</v>
      </c>
      <c r="S27">
        <f>SUM(L27,M27,P27)</f>
        <v>0</v>
      </c>
      <c r="T27">
        <f>SUM(K27,M27,O27)</f>
        <v>0</v>
      </c>
      <c r="U27">
        <f>SUM(K27:P27)</f>
        <v>0</v>
      </c>
      <c r="W27" s="3">
        <v>4</v>
      </c>
      <c r="X27" s="3" t="s">
        <v>96</v>
      </c>
      <c r="Y27" s="3" t="s">
        <v>97</v>
      </c>
      <c r="Z27" s="3">
        <f>MarcoEsteves!H18+MarcoEsteves!F34+MarcoEsteves!F50</f>
        <v>0</v>
      </c>
      <c r="AA27" s="3">
        <f>MarcoEsteves!F18+MarcoEsteves!H34+MarcoEsteves!H50</f>
        <v>0</v>
      </c>
      <c r="AB27" s="3">
        <f>Z27-AA27</f>
        <v>0</v>
      </c>
      <c r="AC27" s="3">
        <f>IF(MarcoEsteves!H18="",0,1)+IF(MarcoEsteves!F34="",0,1)+IF(MarcoEsteves!F50="",0,1)</f>
        <v>0</v>
      </c>
      <c r="AD27" s="3">
        <f>IF(MarcoEsteves!H18="",0,IF(MarcoEsteves!H18&gt;MarcoEsteves!F18,3,IF(MarcoEsteves!F18&gt;MarcoEsteves!H18,0,1)))+IF(MarcoEsteves!F34="",0,IF(MarcoEsteves!F34&gt;MarcoEsteves!H34,3,IF(MarcoEsteves!H34&gt;MarcoEsteves!F34,0,1)))+IF(MarcoEsteves!F50="",0,IF(MarcoEsteves!F50&gt;MarcoEsteves!H50,3,IF(MarcoEsteves!H50&gt;MarcoEsteves!F50,0,1)))</f>
        <v>0</v>
      </c>
      <c r="AH27">
        <f>IF(MarcoEsteves!F50&gt;MarcoEsteves!H50,1,0)</f>
        <v>0</v>
      </c>
      <c r="AJ27">
        <f>IF(MarcoEsteves!F34&gt;MarcoEsteves!H34,1,0)</f>
        <v>0</v>
      </c>
      <c r="AK27">
        <f>IF(MarcoEsteves!H18&gt;MarcoEsteves!F18,1,0)</f>
        <v>0</v>
      </c>
      <c r="AM27">
        <f>SUM(AI27:AK27)</f>
        <v>0</v>
      </c>
      <c r="AN27">
        <f>SUM(AG27,AH27,AK27)</f>
        <v>0</v>
      </c>
      <c r="AO27">
        <f>SUM(AF27,AH27,AJ27)</f>
        <v>0</v>
      </c>
      <c r="AP27">
        <f>SUM(AF27:AK27)</f>
        <v>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283B2C-9D5A-44DB-BA12-92C567665C2C}">
  <sheetPr codeName="Sheet1"/>
  <dimension ref="B2:AA74"/>
  <sheetViews>
    <sheetView showGridLines="0" zoomScale="70" zoomScaleNormal="70" workbookViewId="0">
      <selection activeCell="H9" sqref="H9"/>
    </sheetView>
  </sheetViews>
  <sheetFormatPr defaultColWidth="8.7265625" defaultRowHeight="14.5" outlineLevelRow="1" x14ac:dyDescent="0.35"/>
  <cols>
    <col min="1" max="1" width="1.453125" style="7" customWidth="1"/>
    <col min="2" max="2" width="10.453125" style="7" bestFit="1" customWidth="1"/>
    <col min="3" max="3" width="8.453125" style="7" bestFit="1" customWidth="1"/>
    <col min="4" max="4" width="9.81640625" style="7" bestFit="1" customWidth="1"/>
    <col min="5" max="5" width="14" style="7" bestFit="1" customWidth="1"/>
    <col min="6" max="6" width="3.7265625" style="19" customWidth="1"/>
    <col min="7" max="7" width="3.7265625" style="7" customWidth="1"/>
    <col min="8" max="8" width="3.7265625" style="19" customWidth="1"/>
    <col min="9" max="9" width="14" style="7" bestFit="1" customWidth="1"/>
    <col min="10" max="11" width="4.7265625" style="7" customWidth="1"/>
    <col min="12" max="12" width="2" style="7" customWidth="1"/>
    <col min="13" max="13" width="11.81640625" style="7" bestFit="1" customWidth="1"/>
    <col min="14" max="19" width="8.7265625" style="7"/>
    <col min="20" max="20" width="14" style="7" bestFit="1" customWidth="1"/>
    <col min="21" max="25" width="8.7265625" style="7"/>
    <col min="26" max="26" width="2" style="7" customWidth="1"/>
    <col min="27" max="27" width="8.7265625" style="7" customWidth="1"/>
    <col min="28" max="16384" width="8.7265625" style="7"/>
  </cols>
  <sheetData>
    <row r="2" spans="2:27" x14ac:dyDescent="0.35">
      <c r="AA2" s="20"/>
    </row>
    <row r="3" spans="2:27" ht="29.5" customHeight="1" thickBot="1" x14ac:dyDescent="0.4">
      <c r="B3" s="28" t="s">
        <v>98</v>
      </c>
      <c r="C3" s="28" t="s">
        <v>99</v>
      </c>
      <c r="D3" s="28" t="s">
        <v>7</v>
      </c>
      <c r="E3" s="28" t="s">
        <v>100</v>
      </c>
      <c r="F3" s="28"/>
      <c r="G3" s="28"/>
      <c r="H3" s="28"/>
      <c r="I3" s="28" t="s">
        <v>101</v>
      </c>
      <c r="S3" s="21"/>
    </row>
    <row r="4" spans="2:27" ht="8.5" customHeight="1" thickTop="1" thickBot="1" x14ac:dyDescent="0.4">
      <c r="B4" s="42"/>
      <c r="C4" s="42"/>
      <c r="D4" s="42"/>
      <c r="E4" s="42"/>
      <c r="F4" s="42"/>
      <c r="G4" s="42"/>
      <c r="H4" s="42"/>
      <c r="I4" s="42"/>
      <c r="S4" s="21"/>
    </row>
    <row r="5" spans="2:27" ht="20.25" customHeight="1" thickBot="1" x14ac:dyDescent="0.4">
      <c r="B5" s="30" t="s">
        <v>102</v>
      </c>
      <c r="C5" s="23">
        <v>0.66666666666666663</v>
      </c>
      <c r="D5" s="19" t="s">
        <v>8</v>
      </c>
      <c r="E5" s="24" t="s">
        <v>28</v>
      </c>
      <c r="F5" s="31">
        <v>1</v>
      </c>
      <c r="G5" s="25" t="s">
        <v>103</v>
      </c>
      <c r="H5" s="31">
        <v>1</v>
      </c>
      <c r="I5" s="24" t="s">
        <v>32</v>
      </c>
      <c r="L5" s="22"/>
      <c r="M5" s="22"/>
      <c r="N5" s="22"/>
      <c r="O5" s="22"/>
      <c r="P5" s="22"/>
      <c r="Q5" s="22"/>
      <c r="R5" s="22"/>
      <c r="S5" s="22"/>
      <c r="T5" s="22"/>
      <c r="U5" s="22"/>
      <c r="V5" s="22"/>
      <c r="W5" s="22"/>
      <c r="X5" s="22"/>
      <c r="Y5" s="22"/>
      <c r="Z5" s="22"/>
    </row>
    <row r="6" spans="2:27" ht="20.25" customHeight="1" thickBot="1" x14ac:dyDescent="0.4">
      <c r="B6" s="58" t="s">
        <v>104</v>
      </c>
      <c r="C6" s="23">
        <v>0.54166666666666663</v>
      </c>
      <c r="D6" s="23" t="str">
        <f>dataMatch!E4</f>
        <v>B</v>
      </c>
      <c r="E6" s="24" t="str">
        <f>dataMatch!F4</f>
        <v>England</v>
      </c>
      <c r="F6" s="31">
        <v>2</v>
      </c>
      <c r="G6" s="25" t="s">
        <v>103</v>
      </c>
      <c r="H6" s="31">
        <v>1</v>
      </c>
      <c r="I6" s="24" t="str">
        <f>dataMatch!G4</f>
        <v>IR Iran</v>
      </c>
      <c r="L6" s="22"/>
      <c r="M6" s="61" t="s">
        <v>105</v>
      </c>
      <c r="N6" s="61"/>
      <c r="O6" s="61"/>
      <c r="P6" s="61"/>
      <c r="Q6" s="61"/>
      <c r="R6" s="61"/>
      <c r="S6" s="22"/>
      <c r="T6" s="61" t="s">
        <v>106</v>
      </c>
      <c r="U6" s="61"/>
      <c r="V6" s="61"/>
      <c r="W6" s="61"/>
      <c r="X6" s="61"/>
      <c r="Y6" s="61"/>
      <c r="Z6" s="22"/>
    </row>
    <row r="7" spans="2:27" ht="20.149999999999999" customHeight="1" thickTop="1" thickBot="1" x14ac:dyDescent="0.4">
      <c r="B7" s="58"/>
      <c r="C7" s="23">
        <v>0.66666666666666663</v>
      </c>
      <c r="D7" s="23" t="str">
        <f>dataMatch!E5</f>
        <v>A</v>
      </c>
      <c r="E7" s="24" t="str">
        <f>dataMatch!F5</f>
        <v>Senegal</v>
      </c>
      <c r="F7" s="31">
        <v>1</v>
      </c>
      <c r="G7" s="25" t="s">
        <v>103</v>
      </c>
      <c r="H7" s="31">
        <v>3</v>
      </c>
      <c r="I7" s="24" t="str">
        <f>dataMatch!G5</f>
        <v>Netherlands</v>
      </c>
      <c r="L7" s="22"/>
      <c r="M7" s="26" t="s">
        <v>9</v>
      </c>
      <c r="N7" s="46" t="s">
        <v>10</v>
      </c>
      <c r="O7" s="46" t="s">
        <v>11</v>
      </c>
      <c r="P7" s="46" t="s">
        <v>12</v>
      </c>
      <c r="Q7" s="46" t="s">
        <v>13</v>
      </c>
      <c r="R7" s="46" t="s">
        <v>14</v>
      </c>
      <c r="S7" s="22"/>
      <c r="T7" s="26" t="s">
        <v>9</v>
      </c>
      <c r="U7" s="46" t="s">
        <v>10</v>
      </c>
      <c r="V7" s="46" t="s">
        <v>11</v>
      </c>
      <c r="W7" s="46" t="s">
        <v>12</v>
      </c>
      <c r="X7" s="46" t="s">
        <v>13</v>
      </c>
      <c r="Y7" s="46" t="s">
        <v>14</v>
      </c>
      <c r="Z7" s="22"/>
    </row>
    <row r="8" spans="2:27" ht="20.149999999999999" customHeight="1" thickBot="1" x14ac:dyDescent="0.4">
      <c r="B8" s="58"/>
      <c r="C8" s="23">
        <v>0.79166666666666663</v>
      </c>
      <c r="D8" s="23" t="str">
        <f>dataMatch!E6</f>
        <v>B</v>
      </c>
      <c r="E8" s="24" t="str">
        <f>dataMatch!F6</f>
        <v>USA</v>
      </c>
      <c r="F8" s="31">
        <v>2</v>
      </c>
      <c r="G8" s="25" t="s">
        <v>103</v>
      </c>
      <c r="H8" s="31">
        <v>1</v>
      </c>
      <c r="I8" s="24" t="str">
        <f>dataMatch!G6</f>
        <v>Wales</v>
      </c>
      <c r="L8" s="22"/>
      <c r="M8" s="27" t="str">
        <f>groupMarcoEsteves!D3</f>
        <v>Qatar</v>
      </c>
      <c r="N8" s="45">
        <f>groupMarcoEsteves!E3</f>
        <v>1</v>
      </c>
      <c r="O8" s="45">
        <f>groupMarcoEsteves!F3</f>
        <v>1</v>
      </c>
      <c r="P8" s="45">
        <f>groupMarcoEsteves!G3</f>
        <v>0</v>
      </c>
      <c r="Q8" s="45">
        <f>groupMarcoEsteves!H3</f>
        <v>1</v>
      </c>
      <c r="R8" s="45">
        <f>groupMarcoEsteves!I3</f>
        <v>1</v>
      </c>
      <c r="S8" s="22"/>
      <c r="T8" s="27" t="str">
        <f>groupMarcoEsteves!Y3</f>
        <v>Spain</v>
      </c>
      <c r="U8" s="45">
        <f>groupMarcoEsteves!Z3</f>
        <v>0</v>
      </c>
      <c r="V8" s="45">
        <f>groupMarcoEsteves!AA3</f>
        <v>0</v>
      </c>
      <c r="W8" s="45">
        <f>groupMarcoEsteves!AB3</f>
        <v>0</v>
      </c>
      <c r="X8" s="45">
        <f>groupMarcoEsteves!AC3</f>
        <v>0</v>
      </c>
      <c r="Y8" s="45">
        <f>groupMarcoEsteves!AD3</f>
        <v>0</v>
      </c>
      <c r="Z8" s="22"/>
    </row>
    <row r="9" spans="2:27" ht="20.149999999999999" customHeight="1" thickBot="1" x14ac:dyDescent="0.4">
      <c r="B9" s="59" t="s">
        <v>107</v>
      </c>
      <c r="C9" s="23">
        <v>0.41666666666666669</v>
      </c>
      <c r="D9" s="23" t="str">
        <f>dataMatch!E7</f>
        <v>C</v>
      </c>
      <c r="E9" s="24" t="str">
        <f>dataMatch!F7</f>
        <v>Argentina</v>
      </c>
      <c r="F9" s="31"/>
      <c r="G9" s="25" t="s">
        <v>103</v>
      </c>
      <c r="H9" s="31"/>
      <c r="I9" s="24" t="str">
        <f>dataMatch!G7</f>
        <v>Saudi Arabia</v>
      </c>
      <c r="L9" s="22"/>
      <c r="M9" s="27" t="str">
        <f>groupMarcoEsteves!D4</f>
        <v>Ecuador</v>
      </c>
      <c r="N9" s="45">
        <f>groupMarcoEsteves!E4</f>
        <v>1</v>
      </c>
      <c r="O9" s="45">
        <f>groupMarcoEsteves!F4</f>
        <v>1</v>
      </c>
      <c r="P9" s="45">
        <f>groupMarcoEsteves!G4</f>
        <v>0</v>
      </c>
      <c r="Q9" s="45">
        <f>groupMarcoEsteves!H4</f>
        <v>1</v>
      </c>
      <c r="R9" s="45">
        <f>groupMarcoEsteves!I4</f>
        <v>1</v>
      </c>
      <c r="S9" s="22"/>
      <c r="T9" s="27" t="str">
        <f>groupMarcoEsteves!Y4</f>
        <v>Germany</v>
      </c>
      <c r="U9" s="45">
        <f>groupMarcoEsteves!Z4</f>
        <v>0</v>
      </c>
      <c r="V9" s="45">
        <f>groupMarcoEsteves!AA4</f>
        <v>0</v>
      </c>
      <c r="W9" s="45">
        <f>groupMarcoEsteves!AB4</f>
        <v>0</v>
      </c>
      <c r="X9" s="45">
        <f>groupMarcoEsteves!AC4</f>
        <v>0</v>
      </c>
      <c r="Y9" s="45">
        <f>groupMarcoEsteves!AD4</f>
        <v>0</v>
      </c>
      <c r="Z9" s="22"/>
    </row>
    <row r="10" spans="2:27" ht="20.149999999999999" customHeight="1" thickBot="1" x14ac:dyDescent="0.4">
      <c r="B10" s="59"/>
      <c r="C10" s="23">
        <v>0.54166666666666663</v>
      </c>
      <c r="D10" s="23" t="str">
        <f>dataMatch!E8</f>
        <v>D</v>
      </c>
      <c r="E10" s="24" t="str">
        <f>dataMatch!F8</f>
        <v>Denmark</v>
      </c>
      <c r="F10" s="31"/>
      <c r="G10" s="25" t="s">
        <v>103</v>
      </c>
      <c r="H10" s="31"/>
      <c r="I10" s="24" t="str">
        <f>dataMatch!G8</f>
        <v>Tunisia</v>
      </c>
      <c r="L10" s="22"/>
      <c r="M10" s="27" t="str">
        <f>groupMarcoEsteves!D5</f>
        <v>Senegal</v>
      </c>
      <c r="N10" s="45">
        <f>groupMarcoEsteves!E5</f>
        <v>1</v>
      </c>
      <c r="O10" s="45">
        <f>groupMarcoEsteves!F5</f>
        <v>3</v>
      </c>
      <c r="P10" s="45">
        <f>groupMarcoEsteves!G5</f>
        <v>-2</v>
      </c>
      <c r="Q10" s="45">
        <f>groupMarcoEsteves!H5</f>
        <v>1</v>
      </c>
      <c r="R10" s="45">
        <f>groupMarcoEsteves!I5</f>
        <v>0</v>
      </c>
      <c r="S10" s="22"/>
      <c r="T10" s="27" t="str">
        <f>groupMarcoEsteves!Y5</f>
        <v>Japan</v>
      </c>
      <c r="U10" s="45">
        <f>groupMarcoEsteves!Z5</f>
        <v>0</v>
      </c>
      <c r="V10" s="45">
        <f>groupMarcoEsteves!AA5</f>
        <v>0</v>
      </c>
      <c r="W10" s="45">
        <f>groupMarcoEsteves!AB5</f>
        <v>0</v>
      </c>
      <c r="X10" s="45">
        <f>groupMarcoEsteves!AC5</f>
        <v>0</v>
      </c>
      <c r="Y10" s="45">
        <f>groupMarcoEsteves!AD5</f>
        <v>0</v>
      </c>
      <c r="Z10" s="22"/>
    </row>
    <row r="11" spans="2:27" ht="20.149999999999999" customHeight="1" thickBot="1" x14ac:dyDescent="0.4">
      <c r="B11" s="59"/>
      <c r="C11" s="23">
        <v>0.66666666666666663</v>
      </c>
      <c r="D11" s="23" t="str">
        <f>dataMatch!E9</f>
        <v>C</v>
      </c>
      <c r="E11" s="24" t="str">
        <f>dataMatch!F9</f>
        <v>Mexico</v>
      </c>
      <c r="F11" s="31"/>
      <c r="G11" s="25" t="s">
        <v>103</v>
      </c>
      <c r="H11" s="31"/>
      <c r="I11" s="24" t="str">
        <f>dataMatch!G9</f>
        <v>Poland</v>
      </c>
      <c r="L11" s="22"/>
      <c r="M11" s="27" t="str">
        <f>groupMarcoEsteves!D6</f>
        <v>Netherlands</v>
      </c>
      <c r="N11" s="45">
        <f>groupMarcoEsteves!E6</f>
        <v>3</v>
      </c>
      <c r="O11" s="45">
        <f>groupMarcoEsteves!F6</f>
        <v>1</v>
      </c>
      <c r="P11" s="45">
        <f>groupMarcoEsteves!G6</f>
        <v>2</v>
      </c>
      <c r="Q11" s="45">
        <f>groupMarcoEsteves!H6</f>
        <v>1</v>
      </c>
      <c r="R11" s="45">
        <f>groupMarcoEsteves!I6</f>
        <v>3</v>
      </c>
      <c r="S11" s="22"/>
      <c r="T11" s="27" t="str">
        <f>groupMarcoEsteves!Y6</f>
        <v>Costa Rica</v>
      </c>
      <c r="U11" s="45">
        <f>groupMarcoEsteves!Z6</f>
        <v>0</v>
      </c>
      <c r="V11" s="45">
        <f>groupMarcoEsteves!AA6</f>
        <v>0</v>
      </c>
      <c r="W11" s="45">
        <f>groupMarcoEsteves!AB6</f>
        <v>0</v>
      </c>
      <c r="X11" s="45">
        <f>groupMarcoEsteves!AC6</f>
        <v>0</v>
      </c>
      <c r="Y11" s="45">
        <f>groupMarcoEsteves!AD6</f>
        <v>0</v>
      </c>
      <c r="Z11" s="22"/>
    </row>
    <row r="12" spans="2:27" ht="20.149999999999999" customHeight="1" thickBot="1" x14ac:dyDescent="0.4">
      <c r="B12" s="59"/>
      <c r="C12" s="23">
        <v>0.79166666666666663</v>
      </c>
      <c r="D12" s="23" t="str">
        <f>dataMatch!E10</f>
        <v>D</v>
      </c>
      <c r="E12" s="24" t="str">
        <f>dataMatch!F10</f>
        <v>France</v>
      </c>
      <c r="F12" s="31"/>
      <c r="G12" s="25" t="s">
        <v>103</v>
      </c>
      <c r="H12" s="31"/>
      <c r="I12" s="24" t="str">
        <f>dataMatch!G10</f>
        <v>Australia</v>
      </c>
      <c r="L12" s="22"/>
      <c r="M12" s="22"/>
      <c r="N12" s="22"/>
      <c r="O12" s="22"/>
      <c r="P12" s="22"/>
      <c r="Q12" s="22"/>
      <c r="R12" s="22"/>
      <c r="S12" s="22"/>
      <c r="T12" s="22"/>
      <c r="U12" s="22"/>
      <c r="V12" s="22"/>
      <c r="W12" s="22"/>
      <c r="X12" s="22"/>
      <c r="Y12" s="22"/>
      <c r="Z12" s="22"/>
    </row>
    <row r="13" spans="2:27" ht="20.149999999999999" customHeight="1" thickBot="1" x14ac:dyDescent="0.4">
      <c r="B13" s="58" t="s">
        <v>108</v>
      </c>
      <c r="C13" s="23">
        <v>0.41666666666666669</v>
      </c>
      <c r="D13" s="23" t="str">
        <f>dataMatch!E11</f>
        <v>F</v>
      </c>
      <c r="E13" s="24" t="str">
        <f>dataMatch!F11</f>
        <v>Morocco</v>
      </c>
      <c r="F13" s="31"/>
      <c r="G13" s="25" t="s">
        <v>103</v>
      </c>
      <c r="H13" s="31"/>
      <c r="I13" s="24" t="str">
        <f>dataMatch!G11</f>
        <v>Croatia</v>
      </c>
      <c r="L13" s="22"/>
      <c r="M13" s="61" t="s">
        <v>109</v>
      </c>
      <c r="N13" s="61"/>
      <c r="O13" s="61"/>
      <c r="P13" s="61"/>
      <c r="Q13" s="61"/>
      <c r="R13" s="61"/>
      <c r="S13" s="22"/>
      <c r="T13" s="61" t="s">
        <v>110</v>
      </c>
      <c r="U13" s="61"/>
      <c r="V13" s="61"/>
      <c r="W13" s="61"/>
      <c r="X13" s="61"/>
      <c r="Y13" s="61"/>
      <c r="Z13" s="22"/>
    </row>
    <row r="14" spans="2:27" ht="20.149999999999999" customHeight="1" thickTop="1" thickBot="1" x14ac:dyDescent="0.4">
      <c r="B14" s="58"/>
      <c r="C14" s="23">
        <v>0.54166666666666663</v>
      </c>
      <c r="D14" s="23" t="str">
        <f>dataMatch!E12</f>
        <v>E</v>
      </c>
      <c r="E14" s="24" t="str">
        <f>dataMatch!F12</f>
        <v>Germany</v>
      </c>
      <c r="F14" s="31"/>
      <c r="G14" s="25" t="s">
        <v>103</v>
      </c>
      <c r="H14" s="31"/>
      <c r="I14" s="24" t="str">
        <f>dataMatch!G12</f>
        <v>Japan</v>
      </c>
      <c r="L14" s="22"/>
      <c r="M14" s="26" t="s">
        <v>9</v>
      </c>
      <c r="N14" s="46" t="s">
        <v>10</v>
      </c>
      <c r="O14" s="46" t="s">
        <v>11</v>
      </c>
      <c r="P14" s="46" t="s">
        <v>12</v>
      </c>
      <c r="Q14" s="46" t="s">
        <v>13</v>
      </c>
      <c r="R14" s="46" t="s">
        <v>14</v>
      </c>
      <c r="S14" s="22"/>
      <c r="T14" s="26" t="s">
        <v>9</v>
      </c>
      <c r="U14" s="46" t="s">
        <v>10</v>
      </c>
      <c r="V14" s="46" t="s">
        <v>11</v>
      </c>
      <c r="W14" s="46" t="s">
        <v>12</v>
      </c>
      <c r="X14" s="46" t="s">
        <v>13</v>
      </c>
      <c r="Y14" s="46" t="s">
        <v>14</v>
      </c>
      <c r="Z14" s="22"/>
    </row>
    <row r="15" spans="2:27" ht="20.149999999999999" customHeight="1" thickBot="1" x14ac:dyDescent="0.4">
      <c r="B15" s="58"/>
      <c r="C15" s="23">
        <v>0.66666666666666663</v>
      </c>
      <c r="D15" s="23" t="str">
        <f>dataMatch!E13</f>
        <v>E</v>
      </c>
      <c r="E15" s="24" t="str">
        <f>dataMatch!F13</f>
        <v>Spain</v>
      </c>
      <c r="F15" s="31"/>
      <c r="G15" s="25" t="s">
        <v>103</v>
      </c>
      <c r="H15" s="31"/>
      <c r="I15" s="24" t="str">
        <f>dataMatch!G13</f>
        <v>Costa Rica</v>
      </c>
      <c r="L15" s="22"/>
      <c r="M15" s="27" t="str">
        <f>groupMarcoEsteves!D10</f>
        <v>England</v>
      </c>
      <c r="N15" s="45">
        <f>groupMarcoEsteves!E10</f>
        <v>2</v>
      </c>
      <c r="O15" s="45">
        <f>groupMarcoEsteves!F10</f>
        <v>1</v>
      </c>
      <c r="P15" s="45">
        <f>groupMarcoEsteves!G10</f>
        <v>1</v>
      </c>
      <c r="Q15" s="45">
        <f>groupMarcoEsteves!H10</f>
        <v>1</v>
      </c>
      <c r="R15" s="45">
        <f>groupMarcoEsteves!I10</f>
        <v>3</v>
      </c>
      <c r="S15" s="22"/>
      <c r="T15" s="27" t="str">
        <f>groupMarcoEsteves!Y10</f>
        <v>Belgium</v>
      </c>
      <c r="U15" s="45">
        <f>groupMarcoEsteves!Z10</f>
        <v>0</v>
      </c>
      <c r="V15" s="45">
        <f>groupMarcoEsteves!AA10</f>
        <v>0</v>
      </c>
      <c r="W15" s="45">
        <f>groupMarcoEsteves!AB10</f>
        <v>0</v>
      </c>
      <c r="X15" s="45">
        <f>groupMarcoEsteves!AC10</f>
        <v>0</v>
      </c>
      <c r="Y15" s="45">
        <f>groupMarcoEsteves!AD10</f>
        <v>0</v>
      </c>
      <c r="Z15" s="22"/>
    </row>
    <row r="16" spans="2:27" ht="20.149999999999999" customHeight="1" thickBot="1" x14ac:dyDescent="0.4">
      <c r="B16" s="58"/>
      <c r="C16" s="23">
        <v>0.79166666666666663</v>
      </c>
      <c r="D16" s="23" t="str">
        <f>dataMatch!E14</f>
        <v>F</v>
      </c>
      <c r="E16" s="24" t="str">
        <f>dataMatch!F14</f>
        <v>Belgium</v>
      </c>
      <c r="F16" s="31"/>
      <c r="G16" s="25" t="s">
        <v>103</v>
      </c>
      <c r="H16" s="31"/>
      <c r="I16" s="24" t="str">
        <f>dataMatch!G14</f>
        <v>Canada</v>
      </c>
      <c r="L16" s="22"/>
      <c r="M16" s="27" t="str">
        <f>groupMarcoEsteves!D11</f>
        <v>IR Iran</v>
      </c>
      <c r="N16" s="45">
        <f>groupMarcoEsteves!E11</f>
        <v>1</v>
      </c>
      <c r="O16" s="45">
        <f>groupMarcoEsteves!F11</f>
        <v>2</v>
      </c>
      <c r="P16" s="45">
        <f>groupMarcoEsteves!G11</f>
        <v>-1</v>
      </c>
      <c r="Q16" s="45">
        <f>groupMarcoEsteves!H11</f>
        <v>1</v>
      </c>
      <c r="R16" s="45">
        <f>groupMarcoEsteves!I11</f>
        <v>0</v>
      </c>
      <c r="S16" s="22"/>
      <c r="T16" s="27" t="str">
        <f>groupMarcoEsteves!Y11</f>
        <v>Canada</v>
      </c>
      <c r="U16" s="45">
        <f>groupMarcoEsteves!Z11</f>
        <v>0</v>
      </c>
      <c r="V16" s="45">
        <f>groupMarcoEsteves!AA11</f>
        <v>0</v>
      </c>
      <c r="W16" s="45">
        <f>groupMarcoEsteves!AB11</f>
        <v>0</v>
      </c>
      <c r="X16" s="45">
        <f>groupMarcoEsteves!AC11</f>
        <v>0</v>
      </c>
      <c r="Y16" s="45">
        <f>groupMarcoEsteves!AD11</f>
        <v>0</v>
      </c>
      <c r="Z16" s="22"/>
    </row>
    <row r="17" spans="2:26" ht="20.149999999999999" customHeight="1" thickBot="1" x14ac:dyDescent="0.4">
      <c r="B17" s="59" t="s">
        <v>111</v>
      </c>
      <c r="C17" s="23">
        <v>0.41666666666666669</v>
      </c>
      <c r="D17" s="23" t="str">
        <f>dataMatch!E15</f>
        <v>G</v>
      </c>
      <c r="E17" s="24" t="str">
        <f>dataMatch!F15</f>
        <v>Switzerland</v>
      </c>
      <c r="F17" s="31"/>
      <c r="G17" s="25" t="s">
        <v>103</v>
      </c>
      <c r="H17" s="31"/>
      <c r="I17" s="24" t="str">
        <f>dataMatch!G15</f>
        <v>Cameroon</v>
      </c>
      <c r="L17" s="22"/>
      <c r="M17" s="27" t="str">
        <f>groupMarcoEsteves!D12</f>
        <v>USA</v>
      </c>
      <c r="N17" s="45">
        <f>groupMarcoEsteves!E12</f>
        <v>2</v>
      </c>
      <c r="O17" s="45">
        <f>groupMarcoEsteves!F12</f>
        <v>1</v>
      </c>
      <c r="P17" s="45">
        <f>groupMarcoEsteves!G12</f>
        <v>1</v>
      </c>
      <c r="Q17" s="45">
        <f>groupMarcoEsteves!H12</f>
        <v>1</v>
      </c>
      <c r="R17" s="45">
        <f>groupMarcoEsteves!I12</f>
        <v>3</v>
      </c>
      <c r="S17" s="22"/>
      <c r="T17" s="27" t="str">
        <f>groupMarcoEsteves!Y12</f>
        <v>Morocco</v>
      </c>
      <c r="U17" s="45">
        <f>groupMarcoEsteves!Z12</f>
        <v>0</v>
      </c>
      <c r="V17" s="45">
        <f>groupMarcoEsteves!AA12</f>
        <v>0</v>
      </c>
      <c r="W17" s="45">
        <f>groupMarcoEsteves!AB12</f>
        <v>0</v>
      </c>
      <c r="X17" s="45">
        <f>groupMarcoEsteves!AC12</f>
        <v>0</v>
      </c>
      <c r="Y17" s="45">
        <f>groupMarcoEsteves!AD12</f>
        <v>0</v>
      </c>
      <c r="Z17" s="22"/>
    </row>
    <row r="18" spans="2:26" ht="20.149999999999999" customHeight="1" thickBot="1" x14ac:dyDescent="0.4">
      <c r="B18" s="59"/>
      <c r="C18" s="23">
        <v>0.54166666666666663</v>
      </c>
      <c r="D18" s="23" t="str">
        <f>dataMatch!E16</f>
        <v>H</v>
      </c>
      <c r="E18" s="24" t="str">
        <f>dataMatch!F16</f>
        <v>Uruguay</v>
      </c>
      <c r="F18" s="31"/>
      <c r="G18" s="25" t="s">
        <v>103</v>
      </c>
      <c r="H18" s="31"/>
      <c r="I18" s="24" t="str">
        <f>dataMatch!G16</f>
        <v>Korea Republic</v>
      </c>
      <c r="L18" s="22"/>
      <c r="M18" s="27" t="str">
        <f>groupMarcoEsteves!D13</f>
        <v>Wales</v>
      </c>
      <c r="N18" s="45">
        <f>groupMarcoEsteves!E13</f>
        <v>1</v>
      </c>
      <c r="O18" s="45">
        <f>groupMarcoEsteves!F13</f>
        <v>2</v>
      </c>
      <c r="P18" s="45">
        <f>groupMarcoEsteves!G13</f>
        <v>-1</v>
      </c>
      <c r="Q18" s="45">
        <f>groupMarcoEsteves!H13</f>
        <v>1</v>
      </c>
      <c r="R18" s="45">
        <f>groupMarcoEsteves!I13</f>
        <v>0</v>
      </c>
      <c r="S18" s="22"/>
      <c r="T18" s="27" t="str">
        <f>groupMarcoEsteves!Y13</f>
        <v>Croatia</v>
      </c>
      <c r="U18" s="45">
        <f>groupMarcoEsteves!Z13</f>
        <v>0</v>
      </c>
      <c r="V18" s="45">
        <f>groupMarcoEsteves!AA13</f>
        <v>0</v>
      </c>
      <c r="W18" s="45">
        <f>groupMarcoEsteves!AB13</f>
        <v>0</v>
      </c>
      <c r="X18" s="45">
        <f>groupMarcoEsteves!AC13</f>
        <v>0</v>
      </c>
      <c r="Y18" s="45">
        <f>groupMarcoEsteves!AD13</f>
        <v>0</v>
      </c>
      <c r="Z18" s="22"/>
    </row>
    <row r="19" spans="2:26" ht="20.149999999999999" customHeight="1" thickBot="1" x14ac:dyDescent="0.4">
      <c r="B19" s="59"/>
      <c r="C19" s="23">
        <v>0.66666666666666663</v>
      </c>
      <c r="D19" s="23" t="str">
        <f>dataMatch!E17</f>
        <v>H</v>
      </c>
      <c r="E19" s="24" t="str">
        <f>dataMatch!F17</f>
        <v>Portugal</v>
      </c>
      <c r="F19" s="31"/>
      <c r="G19" s="25" t="s">
        <v>103</v>
      </c>
      <c r="H19" s="31"/>
      <c r="I19" s="24" t="str">
        <f>dataMatch!G17</f>
        <v>Ghana</v>
      </c>
      <c r="L19" s="22"/>
      <c r="M19" s="22"/>
      <c r="N19" s="22"/>
      <c r="O19" s="22"/>
      <c r="P19" s="22"/>
      <c r="Q19" s="22"/>
      <c r="R19" s="22"/>
      <c r="S19" s="22"/>
      <c r="T19" s="22"/>
      <c r="U19" s="22"/>
      <c r="V19" s="22"/>
      <c r="W19" s="22"/>
      <c r="X19" s="22"/>
      <c r="Y19" s="22"/>
      <c r="Z19" s="22"/>
    </row>
    <row r="20" spans="2:26" ht="20.149999999999999" customHeight="1" thickBot="1" x14ac:dyDescent="0.4">
      <c r="B20" s="59"/>
      <c r="C20" s="23">
        <v>0.79166666666666663</v>
      </c>
      <c r="D20" s="23" t="str">
        <f>dataMatch!E18</f>
        <v>G</v>
      </c>
      <c r="E20" s="24" t="str">
        <f>dataMatch!F18</f>
        <v>Brazil</v>
      </c>
      <c r="F20" s="31"/>
      <c r="G20" s="25" t="s">
        <v>103</v>
      </c>
      <c r="H20" s="31"/>
      <c r="I20" s="24" t="str">
        <f>dataMatch!G18</f>
        <v>Serbia</v>
      </c>
      <c r="L20" s="22"/>
      <c r="M20" s="61" t="s">
        <v>112</v>
      </c>
      <c r="N20" s="61"/>
      <c r="O20" s="61"/>
      <c r="P20" s="61"/>
      <c r="Q20" s="61"/>
      <c r="R20" s="61"/>
      <c r="S20" s="22"/>
      <c r="T20" s="61" t="s">
        <v>113</v>
      </c>
      <c r="U20" s="61"/>
      <c r="V20" s="61"/>
      <c r="W20" s="61"/>
      <c r="X20" s="61"/>
      <c r="Y20" s="61"/>
      <c r="Z20" s="22"/>
    </row>
    <row r="21" spans="2:26" ht="20.149999999999999" customHeight="1" thickTop="1" thickBot="1" x14ac:dyDescent="0.4">
      <c r="B21" s="58" t="s">
        <v>114</v>
      </c>
      <c r="C21" s="23">
        <v>0.41666666666666669</v>
      </c>
      <c r="D21" s="23" t="str">
        <f>dataMatch!E19</f>
        <v>B</v>
      </c>
      <c r="E21" s="24" t="str">
        <f>dataMatch!F19</f>
        <v>Wales</v>
      </c>
      <c r="F21" s="31"/>
      <c r="G21" s="25" t="s">
        <v>103</v>
      </c>
      <c r="H21" s="31"/>
      <c r="I21" s="24" t="str">
        <f>dataMatch!G19</f>
        <v>IR Iran</v>
      </c>
      <c r="L21" s="22"/>
      <c r="M21" s="26" t="s">
        <v>9</v>
      </c>
      <c r="N21" s="46" t="s">
        <v>10</v>
      </c>
      <c r="O21" s="46" t="s">
        <v>11</v>
      </c>
      <c r="P21" s="46" t="s">
        <v>12</v>
      </c>
      <c r="Q21" s="46" t="s">
        <v>13</v>
      </c>
      <c r="R21" s="46" t="s">
        <v>14</v>
      </c>
      <c r="S21" s="22"/>
      <c r="T21" s="26" t="s">
        <v>9</v>
      </c>
      <c r="U21" s="46" t="s">
        <v>10</v>
      </c>
      <c r="V21" s="46" t="s">
        <v>11</v>
      </c>
      <c r="W21" s="46" t="s">
        <v>12</v>
      </c>
      <c r="X21" s="46" t="s">
        <v>13</v>
      </c>
      <c r="Y21" s="46" t="s">
        <v>14</v>
      </c>
      <c r="Z21" s="22"/>
    </row>
    <row r="22" spans="2:26" ht="20.149999999999999" customHeight="1" thickBot="1" x14ac:dyDescent="0.4">
      <c r="B22" s="58"/>
      <c r="C22" s="23">
        <v>0.54166666666666663</v>
      </c>
      <c r="D22" s="23" t="str">
        <f>dataMatch!E20</f>
        <v>A</v>
      </c>
      <c r="E22" s="24" t="str">
        <f>dataMatch!F20</f>
        <v>Qatar</v>
      </c>
      <c r="F22" s="31"/>
      <c r="G22" s="25" t="s">
        <v>103</v>
      </c>
      <c r="H22" s="31"/>
      <c r="I22" s="24" t="str">
        <f>dataMatch!G20</f>
        <v>Senegal</v>
      </c>
      <c r="L22" s="22"/>
      <c r="M22" s="27" t="str">
        <f>groupMarcoEsteves!D17</f>
        <v>Argentina</v>
      </c>
      <c r="N22" s="45">
        <f>groupMarcoEsteves!E17</f>
        <v>0</v>
      </c>
      <c r="O22" s="45">
        <f>groupMarcoEsteves!F17</f>
        <v>0</v>
      </c>
      <c r="P22" s="45">
        <f>groupMarcoEsteves!G17</f>
        <v>0</v>
      </c>
      <c r="Q22" s="45">
        <f>groupMarcoEsteves!H17</f>
        <v>0</v>
      </c>
      <c r="R22" s="45">
        <f>groupMarcoEsteves!I17</f>
        <v>0</v>
      </c>
      <c r="S22" s="22"/>
      <c r="T22" s="27" t="str">
        <f>groupMarcoEsteves!Y17</f>
        <v>Brazil</v>
      </c>
      <c r="U22" s="45">
        <f>groupMarcoEsteves!Z17</f>
        <v>0</v>
      </c>
      <c r="V22" s="45">
        <f>groupMarcoEsteves!AA17</f>
        <v>0</v>
      </c>
      <c r="W22" s="45">
        <f>groupMarcoEsteves!AB17</f>
        <v>0</v>
      </c>
      <c r="X22" s="45">
        <f>groupMarcoEsteves!AC17</f>
        <v>0</v>
      </c>
      <c r="Y22" s="45">
        <f>groupMarcoEsteves!AD17</f>
        <v>0</v>
      </c>
      <c r="Z22" s="22"/>
    </row>
    <row r="23" spans="2:26" ht="20.149999999999999" customHeight="1" thickBot="1" x14ac:dyDescent="0.4">
      <c r="B23" s="58"/>
      <c r="C23" s="23">
        <v>0.66666666666666663</v>
      </c>
      <c r="D23" s="23" t="str">
        <f>dataMatch!E21</f>
        <v>A</v>
      </c>
      <c r="E23" s="24" t="str">
        <f>dataMatch!F21</f>
        <v>Netherlands</v>
      </c>
      <c r="F23" s="31"/>
      <c r="G23" s="25" t="s">
        <v>103</v>
      </c>
      <c r="H23" s="31"/>
      <c r="I23" s="24" t="str">
        <f>dataMatch!G21</f>
        <v>Ecuador</v>
      </c>
      <c r="L23" s="22"/>
      <c r="M23" s="27" t="str">
        <f>groupMarcoEsteves!D18</f>
        <v>Saudi Arabia</v>
      </c>
      <c r="N23" s="45">
        <f>groupMarcoEsteves!E18</f>
        <v>0</v>
      </c>
      <c r="O23" s="45">
        <f>groupMarcoEsteves!F18</f>
        <v>0</v>
      </c>
      <c r="P23" s="45">
        <f>groupMarcoEsteves!G18</f>
        <v>0</v>
      </c>
      <c r="Q23" s="45">
        <f>groupMarcoEsteves!H18</f>
        <v>0</v>
      </c>
      <c r="R23" s="45">
        <f>groupMarcoEsteves!I18</f>
        <v>0</v>
      </c>
      <c r="S23" s="22"/>
      <c r="T23" s="27" t="str">
        <f>groupMarcoEsteves!Y18</f>
        <v>Serbia</v>
      </c>
      <c r="U23" s="45">
        <f>groupMarcoEsteves!Z18</f>
        <v>0</v>
      </c>
      <c r="V23" s="45">
        <f>groupMarcoEsteves!AA18</f>
        <v>0</v>
      </c>
      <c r="W23" s="45">
        <f>groupMarcoEsteves!AB18</f>
        <v>0</v>
      </c>
      <c r="X23" s="45">
        <f>groupMarcoEsteves!AC18</f>
        <v>0</v>
      </c>
      <c r="Y23" s="45">
        <f>groupMarcoEsteves!AD18</f>
        <v>0</v>
      </c>
      <c r="Z23" s="22"/>
    </row>
    <row r="24" spans="2:26" ht="20.149999999999999" customHeight="1" thickBot="1" x14ac:dyDescent="0.4">
      <c r="B24" s="58"/>
      <c r="C24" s="23">
        <v>0.79166666666666663</v>
      </c>
      <c r="D24" s="23" t="str">
        <f>dataMatch!E22</f>
        <v>B</v>
      </c>
      <c r="E24" s="24" t="str">
        <f>dataMatch!F22</f>
        <v>England</v>
      </c>
      <c r="F24" s="31"/>
      <c r="G24" s="25" t="s">
        <v>103</v>
      </c>
      <c r="H24" s="31"/>
      <c r="I24" s="24" t="str">
        <f>dataMatch!G22</f>
        <v>USA</v>
      </c>
      <c r="L24" s="22"/>
      <c r="M24" s="27" t="str">
        <f>groupMarcoEsteves!D19</f>
        <v>Mexico</v>
      </c>
      <c r="N24" s="45">
        <f>groupMarcoEsteves!E19</f>
        <v>0</v>
      </c>
      <c r="O24" s="45">
        <f>groupMarcoEsteves!F19</f>
        <v>0</v>
      </c>
      <c r="P24" s="45">
        <f>groupMarcoEsteves!G19</f>
        <v>0</v>
      </c>
      <c r="Q24" s="45">
        <f>groupMarcoEsteves!H19</f>
        <v>0</v>
      </c>
      <c r="R24" s="45">
        <f>groupMarcoEsteves!I19</f>
        <v>0</v>
      </c>
      <c r="S24" s="22"/>
      <c r="T24" s="27" t="str">
        <f>groupMarcoEsteves!Y19</f>
        <v>Switzerland</v>
      </c>
      <c r="U24" s="45">
        <f>groupMarcoEsteves!Z19</f>
        <v>0</v>
      </c>
      <c r="V24" s="45">
        <f>groupMarcoEsteves!AA19</f>
        <v>0</v>
      </c>
      <c r="W24" s="45">
        <f>groupMarcoEsteves!AB19</f>
        <v>0</v>
      </c>
      <c r="X24" s="45">
        <f>groupMarcoEsteves!AC19</f>
        <v>0</v>
      </c>
      <c r="Y24" s="45">
        <f>groupMarcoEsteves!AD19</f>
        <v>0</v>
      </c>
      <c r="Z24" s="22"/>
    </row>
    <row r="25" spans="2:26" ht="20.149999999999999" customHeight="1" thickBot="1" x14ac:dyDescent="0.4">
      <c r="B25" s="59" t="s">
        <v>115</v>
      </c>
      <c r="C25" s="23">
        <v>0.41666666666666669</v>
      </c>
      <c r="D25" s="23" t="str">
        <f>dataMatch!E23</f>
        <v>D</v>
      </c>
      <c r="E25" s="24" t="str">
        <f>dataMatch!F23</f>
        <v>Tunisia</v>
      </c>
      <c r="F25" s="31"/>
      <c r="G25" s="25" t="s">
        <v>103</v>
      </c>
      <c r="H25" s="31"/>
      <c r="I25" s="24" t="str">
        <f>dataMatch!G23</f>
        <v>Australia</v>
      </c>
      <c r="L25" s="22"/>
      <c r="M25" s="27" t="str">
        <f>groupMarcoEsteves!D20</f>
        <v>Poland</v>
      </c>
      <c r="N25" s="45">
        <f>groupMarcoEsteves!E20</f>
        <v>0</v>
      </c>
      <c r="O25" s="45">
        <f>groupMarcoEsteves!F20</f>
        <v>0</v>
      </c>
      <c r="P25" s="45">
        <f>groupMarcoEsteves!G20</f>
        <v>0</v>
      </c>
      <c r="Q25" s="45">
        <f>groupMarcoEsteves!H20</f>
        <v>0</v>
      </c>
      <c r="R25" s="45">
        <f>groupMarcoEsteves!I20</f>
        <v>0</v>
      </c>
      <c r="S25" s="22"/>
      <c r="T25" s="27" t="str">
        <f>groupMarcoEsteves!Y20</f>
        <v>Cameroon</v>
      </c>
      <c r="U25" s="45">
        <f>groupMarcoEsteves!Z20</f>
        <v>0</v>
      </c>
      <c r="V25" s="45">
        <f>groupMarcoEsteves!AA20</f>
        <v>0</v>
      </c>
      <c r="W25" s="45">
        <f>groupMarcoEsteves!AB20</f>
        <v>0</v>
      </c>
      <c r="X25" s="45">
        <f>groupMarcoEsteves!AC20</f>
        <v>0</v>
      </c>
      <c r="Y25" s="45">
        <f>groupMarcoEsteves!AD20</f>
        <v>0</v>
      </c>
      <c r="Z25" s="22"/>
    </row>
    <row r="26" spans="2:26" ht="20.149999999999999" customHeight="1" thickBot="1" x14ac:dyDescent="0.4">
      <c r="B26" s="59"/>
      <c r="C26" s="23">
        <v>0.54166666666666663</v>
      </c>
      <c r="D26" s="23" t="str">
        <f>dataMatch!E24</f>
        <v>C</v>
      </c>
      <c r="E26" s="24" t="str">
        <f>dataMatch!F24</f>
        <v>Poland</v>
      </c>
      <c r="F26" s="31"/>
      <c r="G26" s="25" t="s">
        <v>103</v>
      </c>
      <c r="H26" s="31"/>
      <c r="I26" s="24" t="str">
        <f>dataMatch!G24</f>
        <v>Saudi Arabia</v>
      </c>
      <c r="L26" s="22"/>
      <c r="M26" s="22"/>
      <c r="N26" s="22"/>
      <c r="O26" s="22"/>
      <c r="P26" s="22"/>
      <c r="Q26" s="22"/>
      <c r="R26" s="22"/>
      <c r="S26" s="22"/>
      <c r="T26" s="22"/>
      <c r="U26" s="22"/>
      <c r="V26" s="22"/>
      <c r="W26" s="22"/>
      <c r="X26" s="22"/>
      <c r="Y26" s="22"/>
      <c r="Z26" s="22"/>
    </row>
    <row r="27" spans="2:26" ht="20.149999999999999" customHeight="1" thickBot="1" x14ac:dyDescent="0.4">
      <c r="B27" s="59"/>
      <c r="C27" s="23">
        <v>0.66666666666666663</v>
      </c>
      <c r="D27" s="23" t="str">
        <f>dataMatch!E25</f>
        <v>D</v>
      </c>
      <c r="E27" s="24" t="str">
        <f>dataMatch!F25</f>
        <v>France</v>
      </c>
      <c r="F27" s="31"/>
      <c r="G27" s="25" t="s">
        <v>103</v>
      </c>
      <c r="H27" s="31"/>
      <c r="I27" s="24" t="str">
        <f>dataMatch!G25</f>
        <v>Denmark</v>
      </c>
      <c r="L27" s="22"/>
      <c r="M27" s="61" t="s">
        <v>116</v>
      </c>
      <c r="N27" s="61"/>
      <c r="O27" s="61"/>
      <c r="P27" s="61"/>
      <c r="Q27" s="61"/>
      <c r="R27" s="61"/>
      <c r="S27" s="22"/>
      <c r="T27" s="61" t="s">
        <v>117</v>
      </c>
      <c r="U27" s="61"/>
      <c r="V27" s="61"/>
      <c r="W27" s="61"/>
      <c r="X27" s="61"/>
      <c r="Y27" s="61"/>
      <c r="Z27" s="22"/>
    </row>
    <row r="28" spans="2:26" ht="20.149999999999999" customHeight="1" thickTop="1" thickBot="1" x14ac:dyDescent="0.4">
      <c r="B28" s="59"/>
      <c r="C28" s="23">
        <v>0.79166666666666663</v>
      </c>
      <c r="D28" s="23" t="str">
        <f>dataMatch!E26</f>
        <v>C</v>
      </c>
      <c r="E28" s="24" t="str">
        <f>dataMatch!F26</f>
        <v>Argentina</v>
      </c>
      <c r="F28" s="31"/>
      <c r="G28" s="25" t="s">
        <v>103</v>
      </c>
      <c r="H28" s="31"/>
      <c r="I28" s="24" t="str">
        <f>dataMatch!G26</f>
        <v>Mexico</v>
      </c>
      <c r="L28" s="22"/>
      <c r="M28" s="26" t="s">
        <v>9</v>
      </c>
      <c r="N28" s="46" t="s">
        <v>10</v>
      </c>
      <c r="O28" s="46" t="s">
        <v>11</v>
      </c>
      <c r="P28" s="46" t="s">
        <v>12</v>
      </c>
      <c r="Q28" s="46" t="s">
        <v>13</v>
      </c>
      <c r="R28" s="46" t="s">
        <v>14</v>
      </c>
      <c r="S28" s="22"/>
      <c r="T28" s="26" t="s">
        <v>9</v>
      </c>
      <c r="U28" s="46" t="s">
        <v>10</v>
      </c>
      <c r="V28" s="46" t="s">
        <v>11</v>
      </c>
      <c r="W28" s="46" t="s">
        <v>12</v>
      </c>
      <c r="X28" s="46" t="s">
        <v>13</v>
      </c>
      <c r="Y28" s="46" t="s">
        <v>14</v>
      </c>
      <c r="Z28" s="22"/>
    </row>
    <row r="29" spans="2:26" ht="20.149999999999999" customHeight="1" thickBot="1" x14ac:dyDescent="0.4">
      <c r="B29" s="58" t="s">
        <v>118</v>
      </c>
      <c r="C29" s="23">
        <v>0.41666666666666669</v>
      </c>
      <c r="D29" s="23" t="str">
        <f>dataMatch!E27</f>
        <v>E</v>
      </c>
      <c r="E29" s="24" t="str">
        <f>dataMatch!F27</f>
        <v>Japan</v>
      </c>
      <c r="F29" s="31"/>
      <c r="G29" s="25" t="s">
        <v>103</v>
      </c>
      <c r="H29" s="31"/>
      <c r="I29" s="24" t="str">
        <f>dataMatch!G27</f>
        <v>Costa Rica</v>
      </c>
      <c r="L29" s="22"/>
      <c r="M29" s="27" t="str">
        <f>groupMarcoEsteves!D24</f>
        <v>France</v>
      </c>
      <c r="N29" s="45">
        <f>groupMarcoEsteves!E24</f>
        <v>0</v>
      </c>
      <c r="O29" s="45">
        <f>groupMarcoEsteves!F24</f>
        <v>0</v>
      </c>
      <c r="P29" s="45">
        <f>groupMarcoEsteves!G24</f>
        <v>0</v>
      </c>
      <c r="Q29" s="45">
        <f>groupMarcoEsteves!H24</f>
        <v>0</v>
      </c>
      <c r="R29" s="45">
        <f>groupMarcoEsteves!I24</f>
        <v>0</v>
      </c>
      <c r="S29" s="22"/>
      <c r="T29" s="27" t="str">
        <f>groupMarcoEsteves!Y24</f>
        <v>Portugal</v>
      </c>
      <c r="U29" s="45">
        <f>groupMarcoEsteves!Z24</f>
        <v>0</v>
      </c>
      <c r="V29" s="45">
        <f>groupMarcoEsteves!AA24</f>
        <v>0</v>
      </c>
      <c r="W29" s="45">
        <f>groupMarcoEsteves!AB24</f>
        <v>0</v>
      </c>
      <c r="X29" s="45">
        <f>groupMarcoEsteves!AC24</f>
        <v>0</v>
      </c>
      <c r="Y29" s="45">
        <f>groupMarcoEsteves!AD24</f>
        <v>0</v>
      </c>
      <c r="Z29" s="22"/>
    </row>
    <row r="30" spans="2:26" ht="20.149999999999999" customHeight="1" thickBot="1" x14ac:dyDescent="0.4">
      <c r="B30" s="58"/>
      <c r="C30" s="23">
        <v>0.54166666666666663</v>
      </c>
      <c r="D30" s="23" t="str">
        <f>dataMatch!E28</f>
        <v>F</v>
      </c>
      <c r="E30" s="24" t="str">
        <f>dataMatch!F28</f>
        <v>Belgium</v>
      </c>
      <c r="F30" s="31"/>
      <c r="G30" s="25" t="s">
        <v>103</v>
      </c>
      <c r="H30" s="31"/>
      <c r="I30" s="24" t="str">
        <f>dataMatch!G28</f>
        <v>Morocco</v>
      </c>
      <c r="L30" s="22"/>
      <c r="M30" s="27" t="str">
        <f>groupMarcoEsteves!D25</f>
        <v>Denmark</v>
      </c>
      <c r="N30" s="45">
        <f>groupMarcoEsteves!E25</f>
        <v>0</v>
      </c>
      <c r="O30" s="45">
        <f>groupMarcoEsteves!F25</f>
        <v>0</v>
      </c>
      <c r="P30" s="45">
        <f>groupMarcoEsteves!G25</f>
        <v>0</v>
      </c>
      <c r="Q30" s="45">
        <f>groupMarcoEsteves!H25</f>
        <v>0</v>
      </c>
      <c r="R30" s="45">
        <f>groupMarcoEsteves!I25</f>
        <v>0</v>
      </c>
      <c r="S30" s="22"/>
      <c r="T30" s="27" t="str">
        <f>groupMarcoEsteves!Y25</f>
        <v>Ghana</v>
      </c>
      <c r="U30" s="45">
        <f>groupMarcoEsteves!Z25</f>
        <v>0</v>
      </c>
      <c r="V30" s="45">
        <f>groupMarcoEsteves!AA25</f>
        <v>0</v>
      </c>
      <c r="W30" s="45">
        <f>groupMarcoEsteves!AB25</f>
        <v>0</v>
      </c>
      <c r="X30" s="45">
        <f>groupMarcoEsteves!AC25</f>
        <v>0</v>
      </c>
      <c r="Y30" s="45">
        <f>groupMarcoEsteves!AD25</f>
        <v>0</v>
      </c>
      <c r="Z30" s="22"/>
    </row>
    <row r="31" spans="2:26" ht="20.149999999999999" customHeight="1" thickBot="1" x14ac:dyDescent="0.4">
      <c r="B31" s="58"/>
      <c r="C31" s="23">
        <v>0.66666666666666663</v>
      </c>
      <c r="D31" s="23" t="str">
        <f>dataMatch!E29</f>
        <v>F</v>
      </c>
      <c r="E31" s="24" t="str">
        <f>dataMatch!F29</f>
        <v>Croatia</v>
      </c>
      <c r="F31" s="31"/>
      <c r="G31" s="25" t="s">
        <v>103</v>
      </c>
      <c r="H31" s="31"/>
      <c r="I31" s="24" t="str">
        <f>dataMatch!G29</f>
        <v>Canada</v>
      </c>
      <c r="L31" s="22"/>
      <c r="M31" s="27" t="str">
        <f>groupMarcoEsteves!D26</f>
        <v>Tunisia</v>
      </c>
      <c r="N31" s="45">
        <f>groupMarcoEsteves!E26</f>
        <v>0</v>
      </c>
      <c r="O31" s="45">
        <f>groupMarcoEsteves!F26</f>
        <v>0</v>
      </c>
      <c r="P31" s="45">
        <f>groupMarcoEsteves!G26</f>
        <v>0</v>
      </c>
      <c r="Q31" s="45">
        <f>groupMarcoEsteves!H26</f>
        <v>0</v>
      </c>
      <c r="R31" s="45">
        <f>groupMarcoEsteves!I26</f>
        <v>0</v>
      </c>
      <c r="S31" s="22"/>
      <c r="T31" s="27" t="str">
        <f>groupMarcoEsteves!Y26</f>
        <v>Uruguay</v>
      </c>
      <c r="U31" s="45">
        <f>groupMarcoEsteves!Z26</f>
        <v>0</v>
      </c>
      <c r="V31" s="45">
        <f>groupMarcoEsteves!AA26</f>
        <v>0</v>
      </c>
      <c r="W31" s="45">
        <f>groupMarcoEsteves!AB26</f>
        <v>0</v>
      </c>
      <c r="X31" s="45">
        <f>groupMarcoEsteves!AC26</f>
        <v>0</v>
      </c>
      <c r="Y31" s="45">
        <f>groupMarcoEsteves!AD26</f>
        <v>0</v>
      </c>
      <c r="Z31" s="22"/>
    </row>
    <row r="32" spans="2:26" ht="20.149999999999999" customHeight="1" thickBot="1" x14ac:dyDescent="0.4">
      <c r="B32" s="58"/>
      <c r="C32" s="23">
        <v>0.79166666666666663</v>
      </c>
      <c r="D32" s="23" t="str">
        <f>dataMatch!E30</f>
        <v>E</v>
      </c>
      <c r="E32" s="24" t="str">
        <f>dataMatch!F30</f>
        <v>Spain</v>
      </c>
      <c r="F32" s="31"/>
      <c r="G32" s="25" t="s">
        <v>103</v>
      </c>
      <c r="H32" s="31"/>
      <c r="I32" s="24" t="str">
        <f>dataMatch!G30</f>
        <v>Germany</v>
      </c>
      <c r="L32" s="22"/>
      <c r="M32" s="27" t="str">
        <f>groupMarcoEsteves!D27</f>
        <v>Australia</v>
      </c>
      <c r="N32" s="45">
        <f>groupMarcoEsteves!E27</f>
        <v>0</v>
      </c>
      <c r="O32" s="45">
        <f>groupMarcoEsteves!F27</f>
        <v>0</v>
      </c>
      <c r="P32" s="45">
        <f>groupMarcoEsteves!G27</f>
        <v>0</v>
      </c>
      <c r="Q32" s="45">
        <f>groupMarcoEsteves!H27</f>
        <v>0</v>
      </c>
      <c r="R32" s="45">
        <f>groupMarcoEsteves!I27</f>
        <v>0</v>
      </c>
      <c r="S32" s="22"/>
      <c r="T32" s="27" t="str">
        <f>groupMarcoEsteves!Y27</f>
        <v>Korea Republic</v>
      </c>
      <c r="U32" s="45">
        <f>groupMarcoEsteves!Z27</f>
        <v>0</v>
      </c>
      <c r="V32" s="45">
        <f>groupMarcoEsteves!AA27</f>
        <v>0</v>
      </c>
      <c r="W32" s="45">
        <f>groupMarcoEsteves!AB27</f>
        <v>0</v>
      </c>
      <c r="X32" s="45">
        <f>groupMarcoEsteves!AC27</f>
        <v>0</v>
      </c>
      <c r="Y32" s="45">
        <f>groupMarcoEsteves!AD27</f>
        <v>0</v>
      </c>
      <c r="Z32" s="22"/>
    </row>
    <row r="33" spans="2:26" ht="20.149999999999999" customHeight="1" thickBot="1" x14ac:dyDescent="0.4">
      <c r="B33" s="59" t="s">
        <v>119</v>
      </c>
      <c r="C33" s="23">
        <v>0.41666666666666669</v>
      </c>
      <c r="D33" s="23" t="str">
        <f>dataMatch!E31</f>
        <v>G</v>
      </c>
      <c r="E33" s="24" t="str">
        <f>dataMatch!F31</f>
        <v>Cameroon</v>
      </c>
      <c r="F33" s="31"/>
      <c r="G33" s="25" t="s">
        <v>103</v>
      </c>
      <c r="H33" s="31"/>
      <c r="I33" s="24" t="str">
        <f>dataMatch!G31</f>
        <v>Serbia</v>
      </c>
      <c r="L33" s="22"/>
      <c r="M33" s="22"/>
      <c r="N33" s="22"/>
      <c r="O33" s="22"/>
      <c r="P33" s="22"/>
      <c r="Q33" s="22"/>
      <c r="R33" s="22"/>
      <c r="S33" s="22"/>
      <c r="T33" s="22"/>
      <c r="U33" s="22"/>
      <c r="V33" s="22"/>
      <c r="W33" s="22"/>
      <c r="X33" s="22"/>
      <c r="Y33" s="22"/>
      <c r="Z33" s="22"/>
    </row>
    <row r="34" spans="2:26" ht="20.149999999999999" customHeight="1" thickBot="1" x14ac:dyDescent="0.4">
      <c r="B34" s="59"/>
      <c r="C34" s="23">
        <v>0.54166666666666663</v>
      </c>
      <c r="D34" s="23" t="str">
        <f>dataMatch!E32</f>
        <v>H</v>
      </c>
      <c r="E34" s="24" t="str">
        <f>dataMatch!F32</f>
        <v>Korea Republic</v>
      </c>
      <c r="F34" s="31"/>
      <c r="G34" s="25" t="s">
        <v>103</v>
      </c>
      <c r="H34" s="31"/>
      <c r="I34" s="24" t="str">
        <f>dataMatch!G32</f>
        <v>Ghana</v>
      </c>
    </row>
    <row r="35" spans="2:26" ht="20.149999999999999" customHeight="1" thickBot="1" x14ac:dyDescent="0.4">
      <c r="B35" s="59"/>
      <c r="C35" s="23">
        <v>0.66666666666666663</v>
      </c>
      <c r="D35" s="23" t="str">
        <f>dataMatch!E33</f>
        <v>G</v>
      </c>
      <c r="E35" s="24" t="str">
        <f>dataMatch!F33</f>
        <v>Brazil</v>
      </c>
      <c r="F35" s="31"/>
      <c r="G35" s="25" t="s">
        <v>103</v>
      </c>
      <c r="H35" s="31"/>
      <c r="I35" s="24" t="str">
        <f>dataMatch!G33</f>
        <v>Switzerland</v>
      </c>
    </row>
    <row r="36" spans="2:26" ht="20.149999999999999" customHeight="1" thickBot="1" x14ac:dyDescent="0.4">
      <c r="B36" s="59"/>
      <c r="C36" s="23">
        <v>0.79166666666666663</v>
      </c>
      <c r="D36" s="23" t="str">
        <f>dataMatch!E34</f>
        <v>H</v>
      </c>
      <c r="E36" s="24" t="str">
        <f>dataMatch!F34</f>
        <v>Portugal</v>
      </c>
      <c r="F36" s="31"/>
      <c r="G36" s="25" t="s">
        <v>103</v>
      </c>
      <c r="H36" s="31"/>
      <c r="I36" s="24" t="str">
        <f>dataMatch!G34</f>
        <v>Uruguay</v>
      </c>
    </row>
    <row r="37" spans="2:26" ht="20.149999999999999" customHeight="1" thickBot="1" x14ac:dyDescent="0.4">
      <c r="B37" s="58" t="s">
        <v>120</v>
      </c>
      <c r="C37" s="23">
        <v>0.625</v>
      </c>
      <c r="D37" s="23" t="str">
        <f>dataMatch!E35</f>
        <v>A</v>
      </c>
      <c r="E37" s="24" t="str">
        <f>dataMatch!F35</f>
        <v>Ecuador</v>
      </c>
      <c r="F37" s="31"/>
      <c r="G37" s="25" t="s">
        <v>103</v>
      </c>
      <c r="H37" s="31"/>
      <c r="I37" s="24" t="str">
        <f>dataMatch!G35</f>
        <v>Senegal</v>
      </c>
    </row>
    <row r="38" spans="2:26" ht="20.149999999999999" customHeight="1" thickBot="1" x14ac:dyDescent="0.4">
      <c r="B38" s="58"/>
      <c r="C38" s="23">
        <v>0.625</v>
      </c>
      <c r="D38" s="23" t="str">
        <f>dataMatch!E36</f>
        <v>A</v>
      </c>
      <c r="E38" s="24" t="str">
        <f>dataMatch!F36</f>
        <v>Netherlands</v>
      </c>
      <c r="F38" s="31"/>
      <c r="G38" s="25" t="s">
        <v>103</v>
      </c>
      <c r="H38" s="31"/>
      <c r="I38" s="24" t="str">
        <f>dataMatch!G36</f>
        <v>Qatar</v>
      </c>
    </row>
    <row r="39" spans="2:26" ht="20.149999999999999" customHeight="1" thickBot="1" x14ac:dyDescent="0.4">
      <c r="B39" s="58"/>
      <c r="C39" s="23">
        <v>0.79166666666666663</v>
      </c>
      <c r="D39" s="23" t="str">
        <f>dataMatch!E37</f>
        <v>B</v>
      </c>
      <c r="E39" s="24" t="str">
        <f>dataMatch!F37</f>
        <v>Wales</v>
      </c>
      <c r="F39" s="31"/>
      <c r="G39" s="25" t="s">
        <v>103</v>
      </c>
      <c r="H39" s="31"/>
      <c r="I39" s="24" t="str">
        <f>dataMatch!G37</f>
        <v>England</v>
      </c>
    </row>
    <row r="40" spans="2:26" ht="20.149999999999999" customHeight="1" thickBot="1" x14ac:dyDescent="0.4">
      <c r="B40" s="58"/>
      <c r="C40" s="23">
        <v>0.79166666666666663</v>
      </c>
      <c r="D40" s="23" t="str">
        <f>dataMatch!E38</f>
        <v>B</v>
      </c>
      <c r="E40" s="24" t="str">
        <f>dataMatch!F38</f>
        <v>IR Iran</v>
      </c>
      <c r="F40" s="31"/>
      <c r="G40" s="25" t="s">
        <v>103</v>
      </c>
      <c r="H40" s="31"/>
      <c r="I40" s="24" t="str">
        <f>dataMatch!G38</f>
        <v>USA</v>
      </c>
    </row>
    <row r="41" spans="2:26" ht="20.149999999999999" customHeight="1" thickBot="1" x14ac:dyDescent="0.4">
      <c r="B41" s="59" t="s">
        <v>121</v>
      </c>
      <c r="C41" s="23">
        <v>0.625</v>
      </c>
      <c r="D41" s="23" t="str">
        <f>dataMatch!E39</f>
        <v>D</v>
      </c>
      <c r="E41" s="24" t="str">
        <f>dataMatch!F39</f>
        <v>Australia</v>
      </c>
      <c r="F41" s="31"/>
      <c r="G41" s="25" t="s">
        <v>103</v>
      </c>
      <c r="H41" s="31"/>
      <c r="I41" s="24" t="str">
        <f>dataMatch!G39</f>
        <v>Denmark</v>
      </c>
    </row>
    <row r="42" spans="2:26" ht="20.149999999999999" customHeight="1" thickBot="1" x14ac:dyDescent="0.4">
      <c r="B42" s="59"/>
      <c r="C42" s="23">
        <v>0.625</v>
      </c>
      <c r="D42" s="23" t="str">
        <f>dataMatch!E40</f>
        <v>D</v>
      </c>
      <c r="E42" s="24" t="str">
        <f>dataMatch!F40</f>
        <v>Tunisia</v>
      </c>
      <c r="F42" s="31"/>
      <c r="G42" s="25" t="s">
        <v>103</v>
      </c>
      <c r="H42" s="31"/>
      <c r="I42" s="24" t="str">
        <f>dataMatch!G40</f>
        <v>France</v>
      </c>
    </row>
    <row r="43" spans="2:26" ht="20.149999999999999" customHeight="1" thickBot="1" x14ac:dyDescent="0.4">
      <c r="B43" s="59"/>
      <c r="C43" s="23">
        <v>0.79166666666666663</v>
      </c>
      <c r="D43" s="23" t="str">
        <f>dataMatch!E41</f>
        <v>C</v>
      </c>
      <c r="E43" s="24" t="str">
        <f>dataMatch!F41</f>
        <v>Poland</v>
      </c>
      <c r="F43" s="31"/>
      <c r="G43" s="25" t="s">
        <v>103</v>
      </c>
      <c r="H43" s="31"/>
      <c r="I43" s="24" t="str">
        <f>dataMatch!G41</f>
        <v>Argentina</v>
      </c>
    </row>
    <row r="44" spans="2:26" ht="20.149999999999999" customHeight="1" thickBot="1" x14ac:dyDescent="0.4">
      <c r="B44" s="59"/>
      <c r="C44" s="23">
        <v>0.79166666666666663</v>
      </c>
      <c r="D44" s="23" t="str">
        <f>dataMatch!E42</f>
        <v>C</v>
      </c>
      <c r="E44" s="24" t="str">
        <f>dataMatch!F42</f>
        <v>Saudi Arabia</v>
      </c>
      <c r="F44" s="31"/>
      <c r="G44" s="25" t="s">
        <v>103</v>
      </c>
      <c r="H44" s="31"/>
      <c r="I44" s="24" t="str">
        <f>dataMatch!G42</f>
        <v>Mexico</v>
      </c>
    </row>
    <row r="45" spans="2:26" ht="20.149999999999999" customHeight="1" thickBot="1" x14ac:dyDescent="0.4">
      <c r="B45" s="58" t="s">
        <v>122</v>
      </c>
      <c r="C45" s="23">
        <v>0.625</v>
      </c>
      <c r="D45" s="23" t="str">
        <f>dataMatch!E43</f>
        <v>F</v>
      </c>
      <c r="E45" s="24" t="str">
        <f>dataMatch!F43</f>
        <v>Croatia</v>
      </c>
      <c r="F45" s="31"/>
      <c r="G45" s="25" t="s">
        <v>103</v>
      </c>
      <c r="H45" s="31"/>
      <c r="I45" s="24" t="str">
        <f>dataMatch!G43</f>
        <v>Belgium</v>
      </c>
    </row>
    <row r="46" spans="2:26" ht="20.149999999999999" customHeight="1" thickBot="1" x14ac:dyDescent="0.4">
      <c r="B46" s="58"/>
      <c r="C46" s="23">
        <v>0.625</v>
      </c>
      <c r="D46" s="23" t="str">
        <f>dataMatch!E44</f>
        <v>F</v>
      </c>
      <c r="E46" s="24" t="str">
        <f>dataMatch!F44</f>
        <v>Canada</v>
      </c>
      <c r="F46" s="31"/>
      <c r="G46" s="25" t="s">
        <v>103</v>
      </c>
      <c r="H46" s="31"/>
      <c r="I46" s="24" t="str">
        <f>dataMatch!G44</f>
        <v>Morocco</v>
      </c>
    </row>
    <row r="47" spans="2:26" ht="20.149999999999999" customHeight="1" thickBot="1" x14ac:dyDescent="0.4">
      <c r="B47" s="58"/>
      <c r="C47" s="23">
        <v>0.79166666666666663</v>
      </c>
      <c r="D47" s="23" t="str">
        <f>dataMatch!E45</f>
        <v>E</v>
      </c>
      <c r="E47" s="24" t="str">
        <f>dataMatch!F45</f>
        <v>Japan</v>
      </c>
      <c r="F47" s="31"/>
      <c r="G47" s="25" t="s">
        <v>103</v>
      </c>
      <c r="H47" s="31"/>
      <c r="I47" s="24" t="str">
        <f>dataMatch!G45</f>
        <v>Spain</v>
      </c>
    </row>
    <row r="48" spans="2:26" ht="20.149999999999999" customHeight="1" thickBot="1" x14ac:dyDescent="0.4">
      <c r="B48" s="58"/>
      <c r="C48" s="23">
        <v>0.79166666666666663</v>
      </c>
      <c r="D48" s="23" t="str">
        <f>dataMatch!E46</f>
        <v>E</v>
      </c>
      <c r="E48" s="24" t="str">
        <f>dataMatch!F46</f>
        <v>Costa Rica</v>
      </c>
      <c r="F48" s="31"/>
      <c r="G48" s="25" t="s">
        <v>103</v>
      </c>
      <c r="H48" s="31"/>
      <c r="I48" s="24" t="str">
        <f>dataMatch!G46</f>
        <v>Germany</v>
      </c>
    </row>
    <row r="49" spans="2:9" ht="20.149999999999999" customHeight="1" thickBot="1" x14ac:dyDescent="0.4">
      <c r="B49" s="59" t="s">
        <v>123</v>
      </c>
      <c r="C49" s="23">
        <v>0.625</v>
      </c>
      <c r="D49" s="23" t="str">
        <f>dataMatch!E47</f>
        <v>H</v>
      </c>
      <c r="E49" s="24" t="str">
        <f>dataMatch!F47</f>
        <v>Ghana</v>
      </c>
      <c r="F49" s="31"/>
      <c r="G49" s="25" t="s">
        <v>103</v>
      </c>
      <c r="H49" s="31"/>
      <c r="I49" s="24" t="str">
        <f>dataMatch!G47</f>
        <v>Uruguay</v>
      </c>
    </row>
    <row r="50" spans="2:9" ht="20.149999999999999" customHeight="1" thickBot="1" x14ac:dyDescent="0.4">
      <c r="B50" s="59"/>
      <c r="C50" s="23">
        <v>0.625</v>
      </c>
      <c r="D50" s="23" t="str">
        <f>dataMatch!E48</f>
        <v>H</v>
      </c>
      <c r="E50" s="24" t="str">
        <f>dataMatch!F48</f>
        <v>Korea Republic</v>
      </c>
      <c r="F50" s="31"/>
      <c r="G50" s="25" t="s">
        <v>103</v>
      </c>
      <c r="H50" s="31"/>
      <c r="I50" s="24" t="str">
        <f>dataMatch!G48</f>
        <v>Portugal</v>
      </c>
    </row>
    <row r="51" spans="2:9" ht="20.149999999999999" customHeight="1" thickBot="1" x14ac:dyDescent="0.4">
      <c r="B51" s="59"/>
      <c r="C51" s="23">
        <v>0.79166666666666663</v>
      </c>
      <c r="D51" s="23" t="str">
        <f>dataMatch!E49</f>
        <v>G</v>
      </c>
      <c r="E51" s="24" t="str">
        <f>dataMatch!F49</f>
        <v>Serbia</v>
      </c>
      <c r="F51" s="31"/>
      <c r="G51" s="25" t="s">
        <v>103</v>
      </c>
      <c r="H51" s="31"/>
      <c r="I51" s="24" t="str">
        <f>dataMatch!G49</f>
        <v>Switzerland</v>
      </c>
    </row>
    <row r="52" spans="2:9" ht="20.149999999999999" customHeight="1" thickBot="1" x14ac:dyDescent="0.4">
      <c r="B52" s="59"/>
      <c r="C52" s="23">
        <v>0.79166666666666663</v>
      </c>
      <c r="D52" s="23" t="str">
        <f>dataMatch!E50</f>
        <v>G</v>
      </c>
      <c r="E52" s="24" t="str">
        <f>dataMatch!F50</f>
        <v>Cameroon</v>
      </c>
      <c r="F52" s="32"/>
      <c r="G52" s="25" t="s">
        <v>103</v>
      </c>
      <c r="H52" s="32"/>
      <c r="I52" s="24" t="str">
        <f>dataMatch!G50</f>
        <v>Brazil</v>
      </c>
    </row>
    <row r="53" spans="2:9" ht="20.149999999999999" customHeight="1" thickTop="1" thickBot="1" x14ac:dyDescent="0.4">
      <c r="B53" s="55" t="s">
        <v>124</v>
      </c>
      <c r="C53" s="56"/>
      <c r="D53" s="56"/>
      <c r="E53" s="56"/>
      <c r="F53" s="56"/>
      <c r="G53" s="56"/>
      <c r="H53" s="56"/>
      <c r="I53" s="57"/>
    </row>
    <row r="54" spans="2:9" ht="22" customHeight="1" outlineLevel="1" thickTop="1" thickBot="1" x14ac:dyDescent="0.4">
      <c r="B54" s="52" t="s">
        <v>125</v>
      </c>
      <c r="C54" s="29">
        <v>0.625</v>
      </c>
      <c r="D54" s="18" t="s">
        <v>126</v>
      </c>
      <c r="E54" s="7" t="str">
        <f>M8</f>
        <v>Qatar</v>
      </c>
      <c r="F54" s="31"/>
      <c r="G54" s="25" t="s">
        <v>103</v>
      </c>
      <c r="H54" s="31"/>
      <c r="I54" s="7" t="str">
        <f>M16</f>
        <v>IR Iran</v>
      </c>
    </row>
    <row r="55" spans="2:9" ht="22" customHeight="1" outlineLevel="1" thickBot="1" x14ac:dyDescent="0.4">
      <c r="B55" s="60"/>
      <c r="C55" s="29">
        <v>0.79166666666666663</v>
      </c>
      <c r="D55" s="18" t="s">
        <v>127</v>
      </c>
      <c r="E55" s="7" t="str">
        <f>M22</f>
        <v>Argentina</v>
      </c>
      <c r="F55" s="31"/>
      <c r="G55" s="25" t="s">
        <v>103</v>
      </c>
      <c r="H55" s="31"/>
      <c r="I55" s="7" t="str">
        <f>M30</f>
        <v>Denmark</v>
      </c>
    </row>
    <row r="56" spans="2:9" ht="22" customHeight="1" outlineLevel="1" thickBot="1" x14ac:dyDescent="0.4">
      <c r="B56" s="54" t="s">
        <v>128</v>
      </c>
      <c r="C56" s="29">
        <v>0.625</v>
      </c>
      <c r="D56" s="18" t="s">
        <v>129</v>
      </c>
      <c r="E56" s="7" t="str">
        <f>M29</f>
        <v>France</v>
      </c>
      <c r="F56" s="31"/>
      <c r="G56" s="25" t="s">
        <v>103</v>
      </c>
      <c r="H56" s="31"/>
      <c r="I56" s="7" t="str">
        <f>M23</f>
        <v>Saudi Arabia</v>
      </c>
    </row>
    <row r="57" spans="2:9" ht="22" customHeight="1" outlineLevel="1" thickBot="1" x14ac:dyDescent="0.4">
      <c r="B57" s="54"/>
      <c r="C57" s="29">
        <v>0.79166666666666663</v>
      </c>
      <c r="D57" s="18" t="s">
        <v>130</v>
      </c>
      <c r="E57" s="7" t="str">
        <f>M15</f>
        <v>England</v>
      </c>
      <c r="F57" s="31"/>
      <c r="G57" s="25" t="s">
        <v>103</v>
      </c>
      <c r="H57" s="31"/>
      <c r="I57" s="7" t="str">
        <f>M9</f>
        <v>Ecuador</v>
      </c>
    </row>
    <row r="58" spans="2:9" ht="22" customHeight="1" outlineLevel="1" thickBot="1" x14ac:dyDescent="0.4">
      <c r="B58" s="53" t="s">
        <v>131</v>
      </c>
      <c r="C58" s="29">
        <v>0.625</v>
      </c>
      <c r="D58" s="18" t="s">
        <v>132</v>
      </c>
      <c r="E58" s="7" t="str">
        <f>T8</f>
        <v>Spain</v>
      </c>
      <c r="F58" s="31"/>
      <c r="G58" s="25" t="s">
        <v>103</v>
      </c>
      <c r="H58" s="31"/>
      <c r="I58" s="7" t="str">
        <f>T16</f>
        <v>Canada</v>
      </c>
    </row>
    <row r="59" spans="2:9" ht="22" customHeight="1" outlineLevel="1" thickBot="1" x14ac:dyDescent="0.4">
      <c r="B59" s="53"/>
      <c r="C59" s="29">
        <v>0.79166666666666663</v>
      </c>
      <c r="D59" s="18" t="s">
        <v>133</v>
      </c>
      <c r="E59" s="7" t="str">
        <f>T22</f>
        <v>Brazil</v>
      </c>
      <c r="F59" s="31"/>
      <c r="G59" s="25" t="s">
        <v>103</v>
      </c>
      <c r="H59" s="31"/>
      <c r="I59" s="7" t="str">
        <f>T30</f>
        <v>Ghana</v>
      </c>
    </row>
    <row r="60" spans="2:9" ht="22" customHeight="1" outlineLevel="1" thickBot="1" x14ac:dyDescent="0.4">
      <c r="B60" s="54" t="s">
        <v>134</v>
      </c>
      <c r="C60" s="29">
        <v>0.625</v>
      </c>
      <c r="D60" s="18" t="s">
        <v>135</v>
      </c>
      <c r="E60" s="7" t="str">
        <f>T15</f>
        <v>Belgium</v>
      </c>
      <c r="F60" s="31"/>
      <c r="G60" s="25" t="s">
        <v>103</v>
      </c>
      <c r="H60" s="31"/>
      <c r="I60" s="7" t="str">
        <f>T9</f>
        <v>Germany</v>
      </c>
    </row>
    <row r="61" spans="2:9" ht="22" customHeight="1" outlineLevel="1" thickBot="1" x14ac:dyDescent="0.4">
      <c r="B61" s="54"/>
      <c r="C61" s="29">
        <v>0.79166666666666663</v>
      </c>
      <c r="D61" s="18" t="s">
        <v>136</v>
      </c>
      <c r="E61" s="7" t="str">
        <f>T29</f>
        <v>Portugal</v>
      </c>
      <c r="F61" s="32"/>
      <c r="G61" s="25" t="s">
        <v>103</v>
      </c>
      <c r="H61" s="32"/>
      <c r="I61" s="7" t="str">
        <f>T23</f>
        <v>Serbia</v>
      </c>
    </row>
    <row r="62" spans="2:9" ht="22" customHeight="1" thickTop="1" thickBot="1" x14ac:dyDescent="0.4">
      <c r="B62" s="55" t="s">
        <v>137</v>
      </c>
      <c r="C62" s="56"/>
      <c r="D62" s="56"/>
      <c r="E62" s="56"/>
      <c r="F62" s="56"/>
      <c r="G62" s="56"/>
      <c r="H62" s="56"/>
      <c r="I62" s="57"/>
    </row>
    <row r="63" spans="2:9" ht="22" customHeight="1" outlineLevel="1" thickTop="1" thickBot="1" x14ac:dyDescent="0.4">
      <c r="B63" s="52" t="s">
        <v>138</v>
      </c>
      <c r="C63" s="29">
        <v>0.625</v>
      </c>
      <c r="E63" s="7" t="str">
        <f>IF(F58&gt;H58,E58,I58)</f>
        <v>Canada</v>
      </c>
      <c r="F63" s="31"/>
      <c r="G63" s="25" t="s">
        <v>103</v>
      </c>
      <c r="H63" s="31"/>
      <c r="I63" s="7" t="str">
        <f>IF(F59&gt;H59,E59,I59)</f>
        <v>Ghana</v>
      </c>
    </row>
    <row r="64" spans="2:9" ht="22" customHeight="1" outlineLevel="1" thickBot="1" x14ac:dyDescent="0.4">
      <c r="B64" s="53"/>
      <c r="C64" s="29">
        <v>0.79166666666666663</v>
      </c>
      <c r="E64" s="7" t="str">
        <f>IF(F54&gt;H54,E54,I54)</f>
        <v>IR Iran</v>
      </c>
      <c r="F64" s="31"/>
      <c r="G64" s="25" t="s">
        <v>103</v>
      </c>
      <c r="H64" s="31"/>
      <c r="I64" s="7" t="str">
        <f>IF(F55&gt;H55,E55,I55)</f>
        <v>Denmark</v>
      </c>
    </row>
    <row r="65" spans="2:9" ht="22" customHeight="1" outlineLevel="1" thickBot="1" x14ac:dyDescent="0.4">
      <c r="B65" s="54" t="s">
        <v>139</v>
      </c>
      <c r="C65" s="29">
        <v>0.625</v>
      </c>
      <c r="E65" s="7" t="str">
        <f>IF(F60&gt;H60,E60,I60)</f>
        <v>Germany</v>
      </c>
      <c r="F65" s="31"/>
      <c r="G65" s="25" t="s">
        <v>103</v>
      </c>
      <c r="H65" s="31"/>
      <c r="I65" s="7" t="str">
        <f>IF(F61&gt;H61,E61,I61)</f>
        <v>Serbia</v>
      </c>
    </row>
    <row r="66" spans="2:9" ht="22" customHeight="1" outlineLevel="1" thickBot="1" x14ac:dyDescent="0.4">
      <c r="B66" s="54"/>
      <c r="C66" s="29">
        <v>0.79166666666666663</v>
      </c>
      <c r="E66" s="7" t="str">
        <f>IF(F57&gt;H57,E57,I57)</f>
        <v>Ecuador</v>
      </c>
      <c r="F66" s="32"/>
      <c r="G66" s="25" t="s">
        <v>103</v>
      </c>
      <c r="H66" s="32"/>
      <c r="I66" s="7" t="str">
        <f>IF(F56&gt;H56,E56,I56)</f>
        <v>Saudi Arabia</v>
      </c>
    </row>
    <row r="67" spans="2:9" ht="22" customHeight="1" thickTop="1" thickBot="1" x14ac:dyDescent="0.4">
      <c r="B67" s="55" t="s">
        <v>140</v>
      </c>
      <c r="C67" s="56"/>
      <c r="D67" s="56"/>
      <c r="E67" s="56"/>
      <c r="F67" s="56"/>
      <c r="G67" s="56"/>
      <c r="H67" s="56"/>
      <c r="I67" s="57"/>
    </row>
    <row r="68" spans="2:9" ht="22" customHeight="1" outlineLevel="1" thickTop="1" thickBot="1" x14ac:dyDescent="0.4">
      <c r="B68" s="22" t="s">
        <v>141</v>
      </c>
      <c r="C68" s="29">
        <v>0.79166666666666663</v>
      </c>
      <c r="E68" s="7" t="str">
        <f>IF(F64&gt;H64,E64,I64)</f>
        <v>Denmark</v>
      </c>
      <c r="F68" s="31"/>
      <c r="G68" s="25" t="s">
        <v>103</v>
      </c>
      <c r="H68" s="31"/>
      <c r="I68" s="7" t="str">
        <f>IF(F63&gt;H63,E63,I63)</f>
        <v>Ghana</v>
      </c>
    </row>
    <row r="69" spans="2:9" ht="22" customHeight="1" outlineLevel="1" thickBot="1" x14ac:dyDescent="0.4">
      <c r="B69" s="30" t="s">
        <v>142</v>
      </c>
      <c r="C69" s="29">
        <v>0.79166666666666663</v>
      </c>
      <c r="E69" s="7" t="str">
        <f>IF(F66&gt;H66,E66,I66)</f>
        <v>Saudi Arabia</v>
      </c>
      <c r="F69" s="32"/>
      <c r="G69" s="25" t="s">
        <v>103</v>
      </c>
      <c r="H69" s="32"/>
      <c r="I69" s="7" t="str">
        <f>IF(F65&gt;H65,E65,I65)</f>
        <v>Serbia</v>
      </c>
    </row>
    <row r="70" spans="2:9" ht="22" customHeight="1" thickTop="1" thickBot="1" x14ac:dyDescent="0.4">
      <c r="B70" s="55" t="s">
        <v>143</v>
      </c>
      <c r="C70" s="56"/>
      <c r="D70" s="56"/>
      <c r="E70" s="56"/>
      <c r="F70" s="56"/>
      <c r="G70" s="56"/>
      <c r="H70" s="56"/>
      <c r="I70" s="57"/>
    </row>
    <row r="71" spans="2:9" ht="22" customHeight="1" outlineLevel="1" thickTop="1" thickBot="1" x14ac:dyDescent="0.4">
      <c r="B71" s="22" t="s">
        <v>144</v>
      </c>
      <c r="C71" s="29">
        <v>0.625</v>
      </c>
      <c r="E71" s="7" t="str">
        <f>IF(F68&lt;H68,E68,I68)</f>
        <v>Ghana</v>
      </c>
      <c r="F71" s="32"/>
      <c r="G71" s="25" t="s">
        <v>103</v>
      </c>
      <c r="H71" s="32"/>
      <c r="I71" s="7" t="str">
        <f>IF(F69&lt;H69,E69,I69)</f>
        <v>Serbia</v>
      </c>
    </row>
    <row r="72" spans="2:9" ht="22" customHeight="1" thickTop="1" thickBot="1" x14ac:dyDescent="0.4">
      <c r="B72" s="55" t="s">
        <v>145</v>
      </c>
      <c r="C72" s="56"/>
      <c r="D72" s="56"/>
      <c r="E72" s="56"/>
      <c r="F72" s="56"/>
      <c r="G72" s="56"/>
      <c r="H72" s="56"/>
      <c r="I72" s="57"/>
    </row>
    <row r="73" spans="2:9" ht="22" customHeight="1" outlineLevel="1" thickTop="1" thickBot="1" x14ac:dyDescent="0.4">
      <c r="B73" s="30" t="s">
        <v>146</v>
      </c>
      <c r="C73" s="29">
        <v>0.625</v>
      </c>
      <c r="E73" s="7" t="str">
        <f>IF(F68&gt;H68,E68,I68)</f>
        <v>Ghana</v>
      </c>
      <c r="F73" s="31"/>
      <c r="G73" s="25" t="s">
        <v>103</v>
      </c>
      <c r="H73" s="31"/>
      <c r="I73" s="7" t="str">
        <f>IF(F69&gt;H69,E69,I69)</f>
        <v>Serbia</v>
      </c>
    </row>
    <row r="74" spans="2:9" ht="22" customHeight="1" x14ac:dyDescent="0.35"/>
  </sheetData>
  <mergeCells count="31">
    <mergeCell ref="B6:B8"/>
    <mergeCell ref="M6:R6"/>
    <mergeCell ref="T6:Y6"/>
    <mergeCell ref="B9:B12"/>
    <mergeCell ref="B13:B16"/>
    <mergeCell ref="M13:R13"/>
    <mergeCell ref="T13:Y13"/>
    <mergeCell ref="B17:B20"/>
    <mergeCell ref="M20:R20"/>
    <mergeCell ref="T20:Y20"/>
    <mergeCell ref="B21:B24"/>
    <mergeCell ref="B25:B28"/>
    <mergeCell ref="M27:R27"/>
    <mergeCell ref="T27:Y27"/>
    <mergeCell ref="B62:I62"/>
    <mergeCell ref="B29:B32"/>
    <mergeCell ref="B33:B36"/>
    <mergeCell ref="B37:B40"/>
    <mergeCell ref="B41:B44"/>
    <mergeCell ref="B45:B48"/>
    <mergeCell ref="B49:B52"/>
    <mergeCell ref="B53:I53"/>
    <mergeCell ref="B54:B55"/>
    <mergeCell ref="B56:B57"/>
    <mergeCell ref="B58:B59"/>
    <mergeCell ref="B60:B61"/>
    <mergeCell ref="B63:B64"/>
    <mergeCell ref="B65:B66"/>
    <mergeCell ref="B67:I67"/>
    <mergeCell ref="B70:I70"/>
    <mergeCell ref="B72:I72"/>
  </mergeCells>
  <conditionalFormatting sqref="E6:E52">
    <cfRule type="expression" dxfId="145" priority="36">
      <formula>F6&gt;H6</formula>
    </cfRule>
  </conditionalFormatting>
  <conditionalFormatting sqref="I6:I52">
    <cfRule type="expression" dxfId="144" priority="35">
      <formula>F6&lt;H6</formula>
    </cfRule>
  </conditionalFormatting>
  <conditionalFormatting sqref="M8">
    <cfRule type="expression" dxfId="143" priority="34">
      <formula>$M$8&lt;&gt;#REF!</formula>
    </cfRule>
  </conditionalFormatting>
  <conditionalFormatting sqref="M9">
    <cfRule type="expression" dxfId="142" priority="33">
      <formula>$M$9&lt;&gt;#REF!</formula>
    </cfRule>
  </conditionalFormatting>
  <conditionalFormatting sqref="M10">
    <cfRule type="expression" dxfId="141" priority="32">
      <formula>$M$10&lt;&gt;#REF!</formula>
    </cfRule>
  </conditionalFormatting>
  <conditionalFormatting sqref="M11">
    <cfRule type="expression" dxfId="140" priority="31">
      <formula>$M$11&lt;&gt;#REF!</formula>
    </cfRule>
  </conditionalFormatting>
  <conditionalFormatting sqref="M15">
    <cfRule type="expression" dxfId="139" priority="30">
      <formula>$M$15&lt;&gt;#REF!</formula>
    </cfRule>
  </conditionalFormatting>
  <conditionalFormatting sqref="M16">
    <cfRule type="expression" dxfId="138" priority="29">
      <formula>$M$16&lt;&gt;#REF!</formula>
    </cfRule>
  </conditionalFormatting>
  <conditionalFormatting sqref="M17">
    <cfRule type="expression" dxfId="137" priority="28">
      <formula>$M$17&lt;&gt;#REF!</formula>
    </cfRule>
  </conditionalFormatting>
  <conditionalFormatting sqref="M18">
    <cfRule type="expression" dxfId="136" priority="27">
      <formula>$M$18&lt;&gt;#REF!</formula>
    </cfRule>
  </conditionalFormatting>
  <conditionalFormatting sqref="M22">
    <cfRule type="expression" dxfId="135" priority="26">
      <formula>$M$22&lt;&gt;#REF!</formula>
    </cfRule>
  </conditionalFormatting>
  <conditionalFormatting sqref="M23">
    <cfRule type="expression" dxfId="134" priority="25">
      <formula>$M$23&lt;&gt;#REF!</formula>
    </cfRule>
  </conditionalFormatting>
  <conditionalFormatting sqref="M24">
    <cfRule type="expression" dxfId="133" priority="24">
      <formula>$M$24&lt;&gt;#REF!</formula>
    </cfRule>
  </conditionalFormatting>
  <conditionalFormatting sqref="M25">
    <cfRule type="expression" dxfId="132" priority="23">
      <formula>$M$25&lt;&gt;#REF!</formula>
    </cfRule>
  </conditionalFormatting>
  <conditionalFormatting sqref="M29">
    <cfRule type="expression" dxfId="131" priority="22">
      <formula>$M$29&lt;&gt;#REF!</formula>
    </cfRule>
  </conditionalFormatting>
  <conditionalFormatting sqref="M30">
    <cfRule type="expression" dxfId="130" priority="21">
      <formula>$M$30&lt;&gt;#REF!</formula>
    </cfRule>
  </conditionalFormatting>
  <conditionalFormatting sqref="M31">
    <cfRule type="expression" dxfId="129" priority="20">
      <formula>$M$31&lt;&gt;#REF!</formula>
    </cfRule>
  </conditionalFormatting>
  <conditionalFormatting sqref="M32">
    <cfRule type="expression" dxfId="128" priority="19">
      <formula>$M$32&lt;&gt;#REF!</formula>
    </cfRule>
  </conditionalFormatting>
  <conditionalFormatting sqref="T8">
    <cfRule type="expression" dxfId="127" priority="18">
      <formula>$T$8&lt;&gt;#REF!</formula>
    </cfRule>
  </conditionalFormatting>
  <conditionalFormatting sqref="T9">
    <cfRule type="expression" dxfId="126" priority="17">
      <formula>$T$9&lt;&gt;#REF!</formula>
    </cfRule>
  </conditionalFormatting>
  <conditionalFormatting sqref="T10">
    <cfRule type="expression" dxfId="125" priority="16">
      <formula>$T$10&lt;&gt;#REF!</formula>
    </cfRule>
  </conditionalFormatting>
  <conditionalFormatting sqref="T11">
    <cfRule type="expression" dxfId="124" priority="15">
      <formula>$T$11&lt;&gt;#REF!</formula>
    </cfRule>
  </conditionalFormatting>
  <conditionalFormatting sqref="T15">
    <cfRule type="expression" dxfId="123" priority="14">
      <formula>$T$15&lt;&gt;#REF!</formula>
    </cfRule>
  </conditionalFormatting>
  <conditionalFormatting sqref="T16">
    <cfRule type="expression" dxfId="122" priority="13">
      <formula>$T$16&lt;&gt;#REF!</formula>
    </cfRule>
  </conditionalFormatting>
  <conditionalFormatting sqref="T17">
    <cfRule type="expression" dxfId="121" priority="12">
      <formula>$T$17&lt;&gt;#REF!</formula>
    </cfRule>
  </conditionalFormatting>
  <conditionalFormatting sqref="T18">
    <cfRule type="expression" dxfId="120" priority="11">
      <formula>$T$18&lt;&gt;#REF!</formula>
    </cfRule>
  </conditionalFormatting>
  <conditionalFormatting sqref="T22">
    <cfRule type="expression" dxfId="119" priority="10">
      <formula>$T$22&lt;&gt;#REF!</formula>
    </cfRule>
  </conditionalFormatting>
  <conditionalFormatting sqref="T23">
    <cfRule type="expression" dxfId="118" priority="9">
      <formula>$T$23&lt;&gt;#REF!</formula>
    </cfRule>
  </conditionalFormatting>
  <conditionalFormatting sqref="T24">
    <cfRule type="expression" dxfId="117" priority="8">
      <formula>$T$24&lt;&gt;#REF!</formula>
    </cfRule>
  </conditionalFormatting>
  <conditionalFormatting sqref="T25">
    <cfRule type="expression" dxfId="116" priority="7">
      <formula>$T$25&lt;&gt;#REF!</formula>
    </cfRule>
  </conditionalFormatting>
  <conditionalFormatting sqref="T29">
    <cfRule type="expression" dxfId="115" priority="6">
      <formula>$T$29&lt;&gt;#REF!</formula>
    </cfRule>
  </conditionalFormatting>
  <conditionalFormatting sqref="T30">
    <cfRule type="expression" dxfId="114" priority="5">
      <formula>$T$30&lt;&gt;#REF!</formula>
    </cfRule>
  </conditionalFormatting>
  <conditionalFormatting sqref="T31">
    <cfRule type="expression" dxfId="113" priority="4">
      <formula>$T$31&lt;&gt;#REF!</formula>
    </cfRule>
  </conditionalFormatting>
  <conditionalFormatting sqref="T32">
    <cfRule type="expression" dxfId="112" priority="3">
      <formula>$T$32&lt;&gt;#REF!</formula>
    </cfRule>
  </conditionalFormatting>
  <conditionalFormatting sqref="E5">
    <cfRule type="expression" dxfId="111" priority="2">
      <formula>F5&gt;H5</formula>
    </cfRule>
  </conditionalFormatting>
  <conditionalFormatting sqref="I5">
    <cfRule type="expression" dxfId="110" priority="1">
      <formula>F5&lt;H5</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B02AA-54B7-4B3B-924F-E52AE1DF0790}">
  <sheetPr codeName="group2"/>
  <dimension ref="B2:BC27"/>
  <sheetViews>
    <sheetView showGridLines="0" zoomScale="80" zoomScaleNormal="80" workbookViewId="0">
      <selection sqref="A1:XFD1048576"/>
    </sheetView>
  </sheetViews>
  <sheetFormatPr defaultRowHeight="14.5" outlineLevelCol="2" x14ac:dyDescent="0.35"/>
  <cols>
    <col min="1" max="1" width="3.1796875" customWidth="1"/>
    <col min="2" max="2" width="6.453125" bestFit="1" customWidth="1"/>
    <col min="3" max="3" width="3.1796875" bestFit="1" customWidth="1"/>
    <col min="4" max="4" width="11" bestFit="1" customWidth="1"/>
    <col min="8" max="8" width="6.1796875" bestFit="1" customWidth="1"/>
    <col min="10" max="10" width="2.1796875" customWidth="1"/>
    <col min="11" max="15" width="8.54296875" hidden="1" customWidth="1" outlineLevel="1"/>
    <col min="16" max="21" width="0" hidden="1" customWidth="1" outlineLevel="1"/>
    <col min="22" max="22" width="3.1796875" customWidth="1" collapsed="1"/>
    <col min="31" max="31" width="1.81640625" customWidth="1"/>
    <col min="32" max="42" width="0" hidden="1" customWidth="1" outlineLevel="2"/>
    <col min="43" max="43" width="2.7265625" customWidth="1" collapsed="1"/>
  </cols>
  <sheetData>
    <row r="2" spans="2:55" x14ac:dyDescent="0.35">
      <c r="B2" s="1" t="s">
        <v>7</v>
      </c>
      <c r="C2" s="1" t="s">
        <v>8</v>
      </c>
      <c r="D2" s="1" t="s">
        <v>9</v>
      </c>
      <c r="E2" s="1" t="s">
        <v>10</v>
      </c>
      <c r="F2" s="1" t="s">
        <v>11</v>
      </c>
      <c r="G2" s="1" t="s">
        <v>12</v>
      </c>
      <c r="H2" s="1" t="s">
        <v>13</v>
      </c>
      <c r="I2" s="1" t="s">
        <v>14</v>
      </c>
      <c r="J2" s="2"/>
      <c r="K2" s="44" t="s">
        <v>15</v>
      </c>
      <c r="L2" s="43" t="s">
        <v>16</v>
      </c>
      <c r="M2" s="43" t="s">
        <v>17</v>
      </c>
      <c r="N2" s="43" t="s">
        <v>18</v>
      </c>
      <c r="O2" s="43" t="s">
        <v>19</v>
      </c>
      <c r="P2" s="43" t="s">
        <v>20</v>
      </c>
      <c r="Q2" s="43" t="s">
        <v>21</v>
      </c>
      <c r="R2" s="43" t="s">
        <v>22</v>
      </c>
      <c r="S2" s="43" t="s">
        <v>23</v>
      </c>
      <c r="T2" s="43" t="s">
        <v>24</v>
      </c>
      <c r="U2" s="43" t="s">
        <v>25</v>
      </c>
      <c r="W2" s="1" t="s">
        <v>7</v>
      </c>
      <c r="X2" s="1" t="s">
        <v>26</v>
      </c>
      <c r="Y2" s="1" t="s">
        <v>9</v>
      </c>
      <c r="Z2" s="1" t="s">
        <v>10</v>
      </c>
      <c r="AA2" s="1" t="s">
        <v>11</v>
      </c>
      <c r="AB2" s="1" t="s">
        <v>12</v>
      </c>
      <c r="AC2" s="1" t="s">
        <v>13</v>
      </c>
      <c r="AD2" s="1" t="s">
        <v>14</v>
      </c>
      <c r="AE2" s="2"/>
      <c r="AF2" s="44" t="s">
        <v>15</v>
      </c>
      <c r="AG2" s="43" t="s">
        <v>16</v>
      </c>
      <c r="AH2" s="43" t="s">
        <v>17</v>
      </c>
      <c r="AI2" s="43" t="s">
        <v>18</v>
      </c>
      <c r="AJ2" s="43" t="s">
        <v>19</v>
      </c>
      <c r="AK2" s="43" t="s">
        <v>20</v>
      </c>
      <c r="AL2" s="43" t="s">
        <v>21</v>
      </c>
      <c r="AM2" s="43" t="s">
        <v>22</v>
      </c>
      <c r="AN2" s="43" t="s">
        <v>23</v>
      </c>
      <c r="AO2" s="43" t="s">
        <v>24</v>
      </c>
      <c r="AP2" s="43" t="s">
        <v>25</v>
      </c>
    </row>
    <row r="3" spans="2:55" x14ac:dyDescent="0.35">
      <c r="B3" s="3">
        <v>1</v>
      </c>
      <c r="C3" s="3" t="s">
        <v>27</v>
      </c>
      <c r="D3" s="3" t="s">
        <v>28</v>
      </c>
      <c r="E3" s="3">
        <f>DianaCeleiro!F5+DianaCeleiro!F22+DianaCeleiro!H38</f>
        <v>1</v>
      </c>
      <c r="F3" s="3">
        <f>DianaCeleiro!H5+DianaCeleiro!H22+DianaCeleiro!F38</f>
        <v>1</v>
      </c>
      <c r="G3" s="3">
        <f>E3-F3</f>
        <v>0</v>
      </c>
      <c r="H3" s="3">
        <f>IF(DianaCeleiro!F5="",0,1)+IF(DianaCeleiro!F22="",0,1)+IF(DianaCeleiro!H38="",0,1)</f>
        <v>1</v>
      </c>
      <c r="I3" s="3">
        <f>IF(DianaCeleiro!F5="",0,IF(DianaCeleiro!F5&gt;DianaCeleiro!H5,3,IF(DianaCeleiro!H5&gt;DianaCeleiro!F5,0,1)))+IF(DianaCeleiro!F22="",0,IF(DianaCeleiro!F22&gt;DianaCeleiro!H22,3,IF(DianaCeleiro!H22&gt;DianaCeleiro!F22,0,1)))+IF(DianaCeleiro!F38="",0,IF(DianaCeleiro!H38&gt;DianaCeleiro!F38,3,IF(DianaCeleiro!F38&gt;DianaCeleiro!H38,0,1)))</f>
        <v>1</v>
      </c>
      <c r="K3">
        <f>IF(DianaCeleiro!F5&gt;DianaCeleiro!H5,1,0)</f>
        <v>0</v>
      </c>
      <c r="L3">
        <f>IF(DianaCeleiro!F22&gt;DianaCeleiro!H22,1,0)</f>
        <v>0</v>
      </c>
      <c r="M3">
        <f>IF(DianaCeleiro!H38&gt;DianaCeleiro!F38,1,0)</f>
        <v>0</v>
      </c>
      <c r="Q3">
        <f>SUM(K3:L3,N3)</f>
        <v>0</v>
      </c>
      <c r="S3">
        <f>SUM(L3,M3,P3)</f>
        <v>0</v>
      </c>
      <c r="T3">
        <f>SUM(K3,M3,O3)</f>
        <v>0</v>
      </c>
      <c r="U3">
        <f>SUM(K3:P3)</f>
        <v>0</v>
      </c>
      <c r="W3" s="3">
        <v>1</v>
      </c>
      <c r="X3" s="3" t="s">
        <v>29</v>
      </c>
      <c r="Y3" s="3" t="s">
        <v>30</v>
      </c>
      <c r="Z3" s="3">
        <f>DianaCeleiro!F15+DianaCeleiro!F32+DianaCeleiro!H47</f>
        <v>0</v>
      </c>
      <c r="AA3" s="3">
        <f>DianaCeleiro!H15+DianaCeleiro!H32+DianaCeleiro!F47</f>
        <v>0</v>
      </c>
      <c r="AB3" s="3">
        <f>Z3-AA3</f>
        <v>0</v>
      </c>
      <c r="AC3" s="3">
        <f>IF(DianaCeleiro!F15="",0,1)+IF(DianaCeleiro!F32="",0,1)+IF(DianaCeleiro!H47="",0,1)</f>
        <v>0</v>
      </c>
      <c r="AD3" s="3">
        <f>IF(DianaCeleiro!F15="",0,IF(DianaCeleiro!F15&gt;DianaCeleiro!H15,3,IF(DianaCeleiro!H15&gt;DianaCeleiro!F15,0,1)))+IF(DianaCeleiro!F32="",0,IF(DianaCeleiro!F32&gt;DianaCeleiro!H32,3,IF(DianaCeleiro!H32&gt;DianaCeleiro!F32,0,1)))+IF(DianaCeleiro!H47="",0,IF(DianaCeleiro!F47&gt;DianaCeleiro!H47,3,IF(DianaCeleiro!H47&gt;DianaCeleiro!F47,0,1)))</f>
        <v>0</v>
      </c>
      <c r="AF3">
        <f>IF(DianaCeleiro!F32&gt;DianaCeleiro!H32,1,0)</f>
        <v>0</v>
      </c>
      <c r="AG3">
        <f>IF(DianaCeleiro!H47&gt;DianaCeleiro!F47,1,0)</f>
        <v>0</v>
      </c>
      <c r="AH3">
        <f>IF(DianaCeleiro!F15&gt;DianaCeleiro!H15,1,0)</f>
        <v>0</v>
      </c>
      <c r="AL3">
        <f>SUM(AF3:AG3,AI3)</f>
        <v>0</v>
      </c>
      <c r="AN3">
        <f>SUM(AG3,AH3,AK3)</f>
        <v>0</v>
      </c>
      <c r="AO3">
        <f>SUM(AF3,AH3,AJ3)</f>
        <v>0</v>
      </c>
      <c r="AP3">
        <f>SUM(AF3:AK3)</f>
        <v>0</v>
      </c>
    </row>
    <row r="4" spans="2:55" x14ac:dyDescent="0.35">
      <c r="B4" s="3">
        <v>2</v>
      </c>
      <c r="C4" s="3" t="s">
        <v>31</v>
      </c>
      <c r="D4" s="3" t="s">
        <v>32</v>
      </c>
      <c r="E4" s="3">
        <f>DianaCeleiro!H5+DianaCeleiro!H23+DianaCeleiro!F37</f>
        <v>1</v>
      </c>
      <c r="F4" s="3">
        <f>DianaCeleiro!F5+DianaCeleiro!F23+DianaCeleiro!H37</f>
        <v>1</v>
      </c>
      <c r="G4" s="3">
        <f>E4-F4</f>
        <v>0</v>
      </c>
      <c r="H4" s="3">
        <f>IF(DianaCeleiro!H5="",0,1)+IF(DianaCeleiro!H23="",0,1)+IF(DianaCeleiro!F37="",0,1)</f>
        <v>1</v>
      </c>
      <c r="I4" s="3">
        <f>IF(DianaCeleiro!H5="",0,IF(DianaCeleiro!H5&gt;DianaCeleiro!F5,3,IF(DianaCeleiro!F5&gt;DianaCeleiro!H5,0,1)))+IF(DianaCeleiro!H23="",0,IF(DianaCeleiro!H23&gt;DianaCeleiro!F23,3,IF(DianaCeleiro!F23&gt;DianaCeleiro!H23,0,1)))+IF(DianaCeleiro!F37="",0,IF(DianaCeleiro!F37&gt;DianaCeleiro!H37,3,IF(DianaCeleiro!H37&gt;DianaCeleiro!F37,0,1)))</f>
        <v>1</v>
      </c>
      <c r="K4">
        <f>IF(DianaCeleiro!H5&gt;DianaCeleiro!F5,1,0)</f>
        <v>0</v>
      </c>
      <c r="N4">
        <f>IF(DianaCeleiro!F37&gt;DianaCeleiro!H37,1,0)</f>
        <v>0</v>
      </c>
      <c r="O4">
        <f>IF(DianaCeleiro!H23&gt;DianaCeleiro!F23,1,0)</f>
        <v>0</v>
      </c>
      <c r="Q4">
        <f>SUM(K4:L4,N4)</f>
        <v>0</v>
      </c>
      <c r="R4">
        <f>SUM(N4:P4)</f>
        <v>0</v>
      </c>
      <c r="T4">
        <f>SUM(K4,M4,O4)</f>
        <v>0</v>
      </c>
      <c r="U4">
        <f>SUM(K4:P4)</f>
        <v>0</v>
      </c>
      <c r="W4" s="3">
        <v>2</v>
      </c>
      <c r="X4" s="3" t="s">
        <v>33</v>
      </c>
      <c r="Y4" s="3" t="s">
        <v>34</v>
      </c>
      <c r="Z4" s="3">
        <f>DianaCeleiro!F14+DianaCeleiro!H32+DianaCeleiro!H48</f>
        <v>0</v>
      </c>
      <c r="AA4" s="3">
        <f>DianaCeleiro!H14+DianaCeleiro!F32+DianaCeleiro!F48</f>
        <v>0</v>
      </c>
      <c r="AB4" s="3">
        <f>Z4-AA4</f>
        <v>0</v>
      </c>
      <c r="AC4" s="3">
        <f>IF(DianaCeleiro!F14="",0,1)+IF(DianaCeleiro!H32="",0,1)+IF(DianaCeleiro!H48="",0,1)</f>
        <v>0</v>
      </c>
      <c r="AD4" s="3">
        <f>IF(DianaCeleiro!F14="",0,IF(DianaCeleiro!F14&gt;DianaCeleiro!H14,3,IF(DianaCeleiro!H14&gt;DianaCeleiro!F14,0,1)))+IF(DianaCeleiro!H32="",0,IF(DianaCeleiro!H32&gt;DianaCeleiro!F32,3,IF(DianaCeleiro!F32&gt;DianaCeleiro!H32,0,1)))+IF(DianaCeleiro!F48="",0,IF(DianaCeleiro!H48&gt;DianaCeleiro!F48,3,IF(DianaCeleiro!F48&gt;DianaCeleiro!H48,0,1)))</f>
        <v>0</v>
      </c>
      <c r="AF4">
        <f>IF(DianaCeleiro!H32&gt;DianaCeleiro!F32,1,0)</f>
        <v>0</v>
      </c>
      <c r="AI4">
        <f>IF(DianaCeleiro!F14&gt;DianaCeleiro!H14,1,0)</f>
        <v>0</v>
      </c>
      <c r="AJ4">
        <f>IF(DianaCeleiro!H48&gt;DianaCeleiro!F48,1,0)</f>
        <v>0</v>
      </c>
      <c r="AL4">
        <f>SUM(AF4:AG4,AI4)</f>
        <v>0</v>
      </c>
      <c r="AM4">
        <f>SUM(AI4:AK4)</f>
        <v>0</v>
      </c>
      <c r="AO4">
        <f>SUM(AF4,AH4,AJ4)</f>
        <v>0</v>
      </c>
      <c r="AP4">
        <f>SUM(AF4:AK4)</f>
        <v>0</v>
      </c>
    </row>
    <row r="5" spans="2:55" x14ac:dyDescent="0.35">
      <c r="B5" s="3">
        <v>3</v>
      </c>
      <c r="C5" s="3" t="s">
        <v>35</v>
      </c>
      <c r="D5" s="3" t="s">
        <v>36</v>
      </c>
      <c r="E5" s="3">
        <f>DianaCeleiro!F7+DianaCeleiro!H22+DianaCeleiro!H37</f>
        <v>1</v>
      </c>
      <c r="F5" s="3">
        <f>DianaCeleiro!H7+DianaCeleiro!F22+DianaCeleiro!F37</f>
        <v>2</v>
      </c>
      <c r="G5" s="3">
        <f>E5-F5</f>
        <v>-1</v>
      </c>
      <c r="H5" s="3">
        <f>IF(DianaCeleiro!F7="",0,1)+IF(DianaCeleiro!H22="",0,1)+IF(DianaCeleiro!H37="",0,1)</f>
        <v>1</v>
      </c>
      <c r="I5" s="3">
        <f>IF(DianaCeleiro!F7="",0,IF(DianaCeleiro!F7&gt;DianaCeleiro!H7,3,IF(DianaCeleiro!H7&gt;DianaCeleiro!F7,0,1)))+IF(DianaCeleiro!H22="",0,IF(DianaCeleiro!H22&gt;DianaCeleiro!F22,3,IF(DianaCeleiro!F22&gt;DianaCeleiro!H22,0,1)))+IF(DianaCeleiro!F37="",0,IF(DianaCeleiro!H37&gt;DianaCeleiro!F37,3,IF(DianaCeleiro!F37&gt;DianaCeleiro!H37,0,1)))</f>
        <v>0</v>
      </c>
      <c r="L5">
        <f>IF(DianaCeleiro!H22&gt;DianaCeleiro!F22,1,0)</f>
        <v>0</v>
      </c>
      <c r="N5">
        <f>IF(DianaCeleiro!H37&gt;DianaCeleiro!F37,1,0)</f>
        <v>0</v>
      </c>
      <c r="P5">
        <f>IF(DianaCeleiro!F7&gt;DianaCeleiro!H7,1,0)</f>
        <v>0</v>
      </c>
      <c r="Q5">
        <f>SUM(K5:L5,N5)</f>
        <v>0</v>
      </c>
      <c r="R5">
        <f>SUM(N5:P5)</f>
        <v>0</v>
      </c>
      <c r="S5">
        <f>SUM(L5,M5,P5)</f>
        <v>0</v>
      </c>
      <c r="U5">
        <f>SUM(K5:P5)</f>
        <v>0</v>
      </c>
      <c r="W5" s="3">
        <v>3</v>
      </c>
      <c r="X5" s="3" t="s">
        <v>37</v>
      </c>
      <c r="Y5" s="3" t="s">
        <v>38</v>
      </c>
      <c r="Z5" s="3">
        <f>DianaCeleiro!H14+DianaCeleiro!F29+DianaCeleiro!F47</f>
        <v>0</v>
      </c>
      <c r="AA5" s="3">
        <f>DianaCeleiro!F14+DianaCeleiro!H29+DianaCeleiro!H47</f>
        <v>0</v>
      </c>
      <c r="AB5" s="3">
        <f>Z5-AA5</f>
        <v>0</v>
      </c>
      <c r="AC5" s="3">
        <f>IF(DianaCeleiro!H14="",0,1)+IF(DianaCeleiro!F29="",0,1)+IF(DianaCeleiro!F47="",0,1)</f>
        <v>0</v>
      </c>
      <c r="AD5" s="3">
        <f>IF(DianaCeleiro!H14="",0,IF(DianaCeleiro!H14&gt;DianaCeleiro!F14,3,IF(DianaCeleiro!F14&gt;DianaCeleiro!H14,0,1)))+IF(DianaCeleiro!F29="",0,IF(DianaCeleiro!F29&gt;DianaCeleiro!H29,3,IF(DianaCeleiro!H29&gt;DianaCeleiro!F29,0,1)))+IF(DianaCeleiro!F47="",0,IF(DianaCeleiro!F47&gt;DianaCeleiro!H47,3,IF(DianaCeleiro!H47&gt;DianaCeleiro!F47,0,1)))</f>
        <v>0</v>
      </c>
      <c r="AG5">
        <f>IF(DianaCeleiro!F47&gt;DianaCeleiro!H47,1,0)</f>
        <v>0</v>
      </c>
      <c r="AI5">
        <f>IF(DianaCeleiro!H14&gt;DianaCeleiro!F14,1,0)</f>
        <v>0</v>
      </c>
      <c r="AK5">
        <f>IF(DianaCeleiro!F29&gt;DianaCeleiro!H29,1,0)</f>
        <v>0</v>
      </c>
      <c r="AL5">
        <f>SUM(AF5:AG5,AI5)</f>
        <v>0</v>
      </c>
      <c r="AM5">
        <f>SUM(AI5:AK5)</f>
        <v>0</v>
      </c>
      <c r="AN5">
        <f>SUM(AG5,AH5,AK5)</f>
        <v>0</v>
      </c>
      <c r="AP5">
        <f>SUM(AF5:AK5)</f>
        <v>0</v>
      </c>
      <c r="AR5" s="2"/>
      <c r="AS5" s="44"/>
      <c r="AT5" s="43"/>
      <c r="AU5" s="43"/>
      <c r="AV5" s="43"/>
      <c r="AW5" s="43"/>
      <c r="AX5" s="43"/>
      <c r="AY5" s="43"/>
      <c r="AZ5" s="43"/>
      <c r="BA5" s="43"/>
      <c r="BB5" s="43"/>
      <c r="BC5" s="43"/>
    </row>
    <row r="6" spans="2:55" x14ac:dyDescent="0.35">
      <c r="B6" s="3">
        <v>4</v>
      </c>
      <c r="C6" s="3" t="s">
        <v>39</v>
      </c>
      <c r="D6" s="3" t="s">
        <v>40</v>
      </c>
      <c r="E6" s="3">
        <f>DianaCeleiro!H7+DianaCeleiro!F23+DianaCeleiro!F38</f>
        <v>2</v>
      </c>
      <c r="F6" s="3">
        <f>DianaCeleiro!F7+DianaCeleiro!H23+DianaCeleiro!H38</f>
        <v>1</v>
      </c>
      <c r="G6" s="3">
        <f>E6-F6</f>
        <v>1</v>
      </c>
      <c r="H6" s="3">
        <f>IF(DianaCeleiro!H7="",0,1)+IF(DianaCeleiro!F23="",0,1)+IF(DianaCeleiro!F38="",0,1)</f>
        <v>1</v>
      </c>
      <c r="I6" s="3">
        <f>IF(DianaCeleiro!H7="",0,IF(DianaCeleiro!H7&gt;DianaCeleiro!F7,3,IF(DianaCeleiro!F7&gt;DianaCeleiro!H7,0,1)))+IF(DianaCeleiro!F23="",0,IF(DianaCeleiro!F23&gt;DianaCeleiro!H23,3,IF(DianaCeleiro!H23&gt;DianaCeleiro!F23,0,1)))+IF(DianaCeleiro!F38="",0,IF(DianaCeleiro!F38&gt;DianaCeleiro!H38,3,IF(DianaCeleiro!H38&gt;DianaCeleiro!F38,0,1)))</f>
        <v>3</v>
      </c>
      <c r="M6">
        <f>IF(DianaCeleiro!F38&gt;DianaCeleiro!H38,1,0)</f>
        <v>0</v>
      </c>
      <c r="O6">
        <f>IF(DianaCeleiro!F23&gt;DianaCeleiro!H23,1,0)</f>
        <v>0</v>
      </c>
      <c r="P6">
        <f>IF(DianaCeleiro!H7&gt;DianaCeleiro!F7,1,0)</f>
        <v>1</v>
      </c>
      <c r="R6">
        <f>SUM(N6:P6)</f>
        <v>1</v>
      </c>
      <c r="S6">
        <f>SUM(L6,M6,P6)</f>
        <v>1</v>
      </c>
      <c r="T6">
        <f>SUM(K6,M6,O6)</f>
        <v>0</v>
      </c>
      <c r="U6">
        <f>SUM(K6:P6)</f>
        <v>1</v>
      </c>
      <c r="W6" s="3">
        <v>4</v>
      </c>
      <c r="X6" s="3" t="s">
        <v>41</v>
      </c>
      <c r="Y6" s="3" t="s">
        <v>42</v>
      </c>
      <c r="Z6" s="3">
        <f>DianaCeleiro!H15+DianaCeleiro!H29+DianaCeleiro!F48</f>
        <v>0</v>
      </c>
      <c r="AA6" s="3">
        <f>DianaCeleiro!F15+DianaCeleiro!F29+DianaCeleiro!H48</f>
        <v>0</v>
      </c>
      <c r="AB6" s="3">
        <f>Z6-AA6</f>
        <v>0</v>
      </c>
      <c r="AC6" s="3">
        <f>IF(DianaCeleiro!H15="",0,1)+IF(DianaCeleiro!H29="",0,1)+IF(DianaCeleiro!F48="",0,1)</f>
        <v>0</v>
      </c>
      <c r="AD6" s="3">
        <f>IF(DianaCeleiro!H15="",0,IF(DianaCeleiro!H15&gt;DianaCeleiro!F15,3,IF(DianaCeleiro!F15&gt;DianaCeleiro!H15,0,1)))+IF(DianaCeleiro!H29="",0,IF(DianaCeleiro!H29&gt;DianaCeleiro!F29,3,IF(DianaCeleiro!F29&gt;DianaCeleiro!H29,0,1)))+IF(DianaCeleiro!F48="",0,IF(DianaCeleiro!F48&gt;DianaCeleiro!H48,3,IF(DianaCeleiro!H48&gt;DianaCeleiro!F48,0,1)))</f>
        <v>0</v>
      </c>
      <c r="AH6">
        <f>IF(DianaCeleiro!H15&gt;DianaCeleiro!F15,1,0)</f>
        <v>0</v>
      </c>
      <c r="AJ6">
        <f>IF(DianaCeleiro!F48&gt;DianaCeleiro!H48,1,0)</f>
        <v>0</v>
      </c>
      <c r="AK6">
        <f>IF(DianaCeleiro!H29&gt;DianaCeleiro!F29,1,0)</f>
        <v>0</v>
      </c>
      <c r="AM6">
        <f>SUM(AI6:AK6)</f>
        <v>0</v>
      </c>
      <c r="AN6">
        <f>SUM(AG6,AH6,AK6)</f>
        <v>0</v>
      </c>
      <c r="AO6">
        <f>SUM(AF6,AH6,AJ6)</f>
        <v>0</v>
      </c>
      <c r="AP6">
        <f>SUM(AF6:AK6)</f>
        <v>0</v>
      </c>
    </row>
    <row r="9" spans="2:55" x14ac:dyDescent="0.35">
      <c r="B9" s="1" t="s">
        <v>7</v>
      </c>
      <c r="C9" s="1" t="s">
        <v>43</v>
      </c>
      <c r="D9" s="1" t="s">
        <v>9</v>
      </c>
      <c r="E9" s="1" t="s">
        <v>10</v>
      </c>
      <c r="F9" s="1" t="s">
        <v>11</v>
      </c>
      <c r="G9" s="1" t="s">
        <v>12</v>
      </c>
      <c r="H9" s="1" t="s">
        <v>13</v>
      </c>
      <c r="I9" s="1" t="s">
        <v>14</v>
      </c>
      <c r="K9" s="6" t="s">
        <v>15</v>
      </c>
      <c r="L9" s="6" t="s">
        <v>16</v>
      </c>
      <c r="M9" s="6" t="s">
        <v>17</v>
      </c>
      <c r="N9" s="6" t="s">
        <v>18</v>
      </c>
      <c r="O9" s="6" t="s">
        <v>19</v>
      </c>
      <c r="P9" s="6" t="s">
        <v>20</v>
      </c>
      <c r="Q9" s="6" t="s">
        <v>21</v>
      </c>
      <c r="R9" s="6" t="s">
        <v>22</v>
      </c>
      <c r="S9" s="6" t="s">
        <v>23</v>
      </c>
      <c r="T9" s="6" t="s">
        <v>24</v>
      </c>
      <c r="U9" s="6" t="s">
        <v>25</v>
      </c>
      <c r="W9" s="1" t="s">
        <v>7</v>
      </c>
      <c r="X9" s="1" t="s">
        <v>44</v>
      </c>
      <c r="Y9" s="1" t="s">
        <v>9</v>
      </c>
      <c r="Z9" s="1" t="s">
        <v>10</v>
      </c>
      <c r="AA9" s="1" t="s">
        <v>11</v>
      </c>
      <c r="AB9" s="1" t="s">
        <v>12</v>
      </c>
      <c r="AC9" s="1" t="s">
        <v>13</v>
      </c>
      <c r="AD9" s="1" t="s">
        <v>14</v>
      </c>
      <c r="AE9" s="2"/>
      <c r="AF9" s="44" t="s">
        <v>15</v>
      </c>
      <c r="AG9" s="43" t="s">
        <v>16</v>
      </c>
      <c r="AH9" s="43" t="s">
        <v>17</v>
      </c>
      <c r="AI9" s="43" t="s">
        <v>18</v>
      </c>
      <c r="AJ9" s="43" t="s">
        <v>19</v>
      </c>
      <c r="AK9" s="43" t="s">
        <v>20</v>
      </c>
      <c r="AL9" s="43" t="s">
        <v>21</v>
      </c>
      <c r="AM9" s="43" t="s">
        <v>22</v>
      </c>
      <c r="AN9" s="43" t="s">
        <v>23</v>
      </c>
      <c r="AO9" s="43" t="s">
        <v>24</v>
      </c>
      <c r="AP9" s="43" t="s">
        <v>25</v>
      </c>
    </row>
    <row r="10" spans="2:55" x14ac:dyDescent="0.35">
      <c r="B10" s="3">
        <v>1</v>
      </c>
      <c r="C10" s="3" t="s">
        <v>45</v>
      </c>
      <c r="D10" s="3" t="s">
        <v>46</v>
      </c>
      <c r="E10" s="3">
        <f>DianaCeleiro!F6+DianaCeleiro!F24+DianaCeleiro!H39</f>
        <v>3</v>
      </c>
      <c r="F10" s="3">
        <f>DianaCeleiro!H6+DianaCeleiro!H24+DianaCeleiro!F39</f>
        <v>0</v>
      </c>
      <c r="G10" s="3">
        <f>E10-F10</f>
        <v>3</v>
      </c>
      <c r="H10" s="3">
        <f>IF(DianaCeleiro!F6="",0,1)+IF(DianaCeleiro!F24="",0,1)+IF(DianaCeleiro!H39="",0,1)</f>
        <v>1</v>
      </c>
      <c r="I10" s="3">
        <f>IF(DianaCeleiro!F6="",0,IF(DianaCeleiro!F6&gt;DianaCeleiro!H6,3,IF(DianaCeleiro!H6&gt;DianaCeleiro!F6,0,1)))+IF(DianaCeleiro!F24="",0,IF(DianaCeleiro!F24&gt;DianaCeleiro!H24,3,IF(DianaCeleiro!H24&gt;DianaCeleiro!F24,0,1)))+IF(DianaCeleiro!F39="",0,IF(DianaCeleiro!H39&gt;DianaCeleiro!F39,3,IF(DianaCeleiro!F39&gt;DianaCeleiro!H39,0,1)))</f>
        <v>3</v>
      </c>
      <c r="K10">
        <f>IF(DianaCeleiro!F6&gt;DianaCeleiro!H6,1,0)</f>
        <v>1</v>
      </c>
      <c r="L10">
        <f>IF(DianaCeleiro!F24&gt;DianaCeleiro!H24,1,0)</f>
        <v>0</v>
      </c>
      <c r="M10">
        <f>IF(DianaCeleiro!H39&gt;DianaCeleiro!F39,1,0)</f>
        <v>0</v>
      </c>
      <c r="Q10">
        <f>SUM(K10:L10,N10)</f>
        <v>1</v>
      </c>
      <c r="S10">
        <f>SUM(L10,M10,P10)</f>
        <v>0</v>
      </c>
      <c r="T10">
        <f>SUM(K10,M10,O10)</f>
        <v>1</v>
      </c>
      <c r="U10">
        <f>SUM(K10:P10)</f>
        <v>1</v>
      </c>
      <c r="W10" s="3">
        <v>1</v>
      </c>
      <c r="X10" s="3" t="s">
        <v>47</v>
      </c>
      <c r="Y10" s="3" t="s">
        <v>48</v>
      </c>
      <c r="Z10" s="3">
        <f>DianaCeleiro!F16+DianaCeleiro!F30+DianaCeleiro!H45</f>
        <v>0</v>
      </c>
      <c r="AA10" s="3">
        <f>DianaCeleiro!H16+DianaCeleiro!H30+DianaCeleiro!F45</f>
        <v>0</v>
      </c>
      <c r="AB10" s="3">
        <f>Z10-AA10</f>
        <v>0</v>
      </c>
      <c r="AC10" s="3">
        <f>IF(DianaCeleiro!F16="",0,1)+IF(DianaCeleiro!F30="",0,1)+IF(DianaCeleiro!H45="",0,1)</f>
        <v>0</v>
      </c>
      <c r="AD10" s="3">
        <f>IF(DianaCeleiro!F16="",0,IF(DianaCeleiro!F16&gt;DianaCeleiro!H16,3,IF(DianaCeleiro!H16&gt;DianaCeleiro!F16,0,1)))+IF(DianaCeleiro!F30="",0,IF(DianaCeleiro!F30&gt;DianaCeleiro!H30,3,IF(DianaCeleiro!H30&gt;DianaCeleiro!F30,0,1)))+IF(DianaCeleiro!F45="",0,IF(DianaCeleiro!H45&gt;DianaCeleiro!F45,3,IF(DianaCeleiro!F45&gt;DianaCeleiro!H45,0,1)))</f>
        <v>0</v>
      </c>
      <c r="AF10">
        <f>IF(DianaCeleiro!F16&gt;DianaCeleiro!H16,1,0)</f>
        <v>0</v>
      </c>
      <c r="AG10">
        <f>IF(DianaCeleiro!F30&gt;DianaCeleiro!H30,1,0)</f>
        <v>0</v>
      </c>
      <c r="AH10">
        <f>IF(DianaCeleiro!H45&gt;DianaCeleiro!F45,1,0)</f>
        <v>0</v>
      </c>
      <c r="AL10">
        <f>SUM(AF10:AG10,AI10)</f>
        <v>0</v>
      </c>
      <c r="AN10">
        <f>SUM(AG10,AH10,AK10)</f>
        <v>0</v>
      </c>
      <c r="AO10">
        <f>SUM(AF10,AH10,AJ10)</f>
        <v>0</v>
      </c>
      <c r="AP10">
        <f>SUM(AF10:AK10)</f>
        <v>0</v>
      </c>
    </row>
    <row r="11" spans="2:55" x14ac:dyDescent="0.35">
      <c r="B11" s="3">
        <v>2</v>
      </c>
      <c r="C11" s="3" t="s">
        <v>49</v>
      </c>
      <c r="D11" s="3" t="s">
        <v>50</v>
      </c>
      <c r="E11" s="3">
        <f>DianaCeleiro!H6+DianaCeleiro!H21+DianaCeleiro!F40</f>
        <v>0</v>
      </c>
      <c r="F11" s="3">
        <f>DianaCeleiro!F6+DianaCeleiro!F21+DianaCeleiro!H40</f>
        <v>3</v>
      </c>
      <c r="G11" s="3">
        <f>E11-F11</f>
        <v>-3</v>
      </c>
      <c r="H11" s="3">
        <f>IF(DianaCeleiro!F6="",0,1)+IF(DianaCeleiro!H21="",0,1)+IF(DianaCeleiro!H40="",0,1)</f>
        <v>1</v>
      </c>
      <c r="I11" s="3">
        <f>IF(DianaCeleiro!H6="",0,IF(DianaCeleiro!H6&gt;DianaCeleiro!F6,3,IF(DianaCeleiro!F6&gt;DianaCeleiro!H6,0,1)))+IF(DianaCeleiro!H21="",0,IF(DianaCeleiro!H21&gt;DianaCeleiro!F21,3,IF(DianaCeleiro!F21&gt;DianaCeleiro!H21,0,1)))+IF(DianaCeleiro!F40="",0,IF(DianaCeleiro!F40&gt;DianaCeleiro!H40,3,IF(DianaCeleiro!H40&gt;DianaCeleiro!F40,0,1)))</f>
        <v>0</v>
      </c>
      <c r="K11">
        <f>IF(DianaCeleiro!H6&gt;DianaCeleiro!F6,1,0)</f>
        <v>0</v>
      </c>
      <c r="N11">
        <f>IF(DianaCeleiro!F40&gt;DianaCeleiro!H40,1,0)</f>
        <v>0</v>
      </c>
      <c r="O11">
        <f>IF(DianaCeleiro!H21&gt;DianaCeleiro!F21,1,0)</f>
        <v>0</v>
      </c>
      <c r="Q11">
        <f>SUM(K11:L11,N11)</f>
        <v>0</v>
      </c>
      <c r="R11">
        <f>SUM(N11:P11)</f>
        <v>0</v>
      </c>
      <c r="T11">
        <f>SUM(K11,M11,O11)</f>
        <v>0</v>
      </c>
      <c r="U11">
        <f>SUM(K11:P11)</f>
        <v>0</v>
      </c>
      <c r="W11" s="3">
        <v>2</v>
      </c>
      <c r="X11" s="3" t="s">
        <v>51</v>
      </c>
      <c r="Y11" s="3" t="s">
        <v>52</v>
      </c>
      <c r="Z11" s="3">
        <f>DianaCeleiro!H16+DianaCeleiro!H31+DianaCeleiro!F46</f>
        <v>0</v>
      </c>
      <c r="AA11" s="3">
        <f>DianaCeleiro!F16+DianaCeleiro!F31+DianaCeleiro!H46</f>
        <v>0</v>
      </c>
      <c r="AB11" s="3">
        <f>Z11-AA11</f>
        <v>0</v>
      </c>
      <c r="AC11" s="3">
        <f>IF(DianaCeleiro!H16="",0,1)+IF(DianaCeleiro!H31="",0,1)+IF(DianaCeleiro!F46="",0,1)</f>
        <v>0</v>
      </c>
      <c r="AD11" s="3">
        <f>IF(DianaCeleiro!H16="",0,IF(DianaCeleiro!H16&gt;DianaCeleiro!F16,3,IF(DianaCeleiro!F16&gt;DianaCeleiro!H16,0,1)))+IF(DianaCeleiro!H31="",0,IF(DianaCeleiro!H31&gt;DianaCeleiro!F31,3,IF(DianaCeleiro!F31&gt;DianaCeleiro!H31,0,1)))+IF(DianaCeleiro!F46="",0,IF(DianaCeleiro!F46&gt;DianaCeleiro!H46,3,IF(DianaCeleiro!H46&gt;DianaCeleiro!F46,0,1)))</f>
        <v>0</v>
      </c>
      <c r="AF11">
        <f>IF(DianaCeleiro!H16&gt;DianaCeleiro!F16,1,0)</f>
        <v>0</v>
      </c>
      <c r="AI11">
        <f>IF(DianaCeleiro!F46&gt;DianaCeleiro!H46,1,0)</f>
        <v>0</v>
      </c>
      <c r="AJ11">
        <f>IF(DianaCeleiro!H31&gt;DianaCeleiro!F31,1,0)</f>
        <v>0</v>
      </c>
      <c r="AL11">
        <f>SUM(AF11:AG11,AI11)</f>
        <v>0</v>
      </c>
      <c r="AM11">
        <f>SUM(AI11:AK11)</f>
        <v>0</v>
      </c>
      <c r="AO11">
        <f>SUM(AF11,AH11,AJ11)</f>
        <v>0</v>
      </c>
      <c r="AP11">
        <f>SUM(AF11:AK11)</f>
        <v>0</v>
      </c>
    </row>
    <row r="12" spans="2:55" x14ac:dyDescent="0.35">
      <c r="B12" s="3">
        <v>3</v>
      </c>
      <c r="C12" s="3" t="s">
        <v>53</v>
      </c>
      <c r="D12" s="3" t="s">
        <v>54</v>
      </c>
      <c r="E12" s="3">
        <f>DianaCeleiro!F8+DianaCeleiro!H24+DianaCeleiro!H40</f>
        <v>0</v>
      </c>
      <c r="F12" s="3">
        <f>DianaCeleiro!H8+DianaCeleiro!F24+DianaCeleiro!F40</f>
        <v>3</v>
      </c>
      <c r="G12" s="3">
        <f>E12-F12</f>
        <v>-3</v>
      </c>
      <c r="H12" s="3">
        <f>IF(DianaCeleiro!F8="",0,1)+IF(DianaCeleiro!H24="",0,1)+IF(DianaCeleiro!H40="",0,1)</f>
        <v>1</v>
      </c>
      <c r="I12" s="3">
        <f>IF(DianaCeleiro!F8="",0,IF(DianaCeleiro!F8&gt;DianaCeleiro!H8,3,IF(DianaCeleiro!H8&gt;DianaCeleiro!F8,0,1)))+IF(DianaCeleiro!H24="",0,IF(DianaCeleiro!H24&gt;DianaCeleiro!F24,3,IF(DianaCeleiro!F24&gt;DianaCeleiro!H24,0,1)))+IF(DianaCeleiro!F40="",0,IF(DianaCeleiro!H40&gt;DianaCeleiro!F40,3,IF(DianaCeleiro!F40&gt;DianaCeleiro!H40,0,1)))</f>
        <v>0</v>
      </c>
      <c r="L12">
        <f>IF(DianaCeleiro!H24&gt;DianaCeleiro!F24,1,0)</f>
        <v>0</v>
      </c>
      <c r="N12">
        <f>IF(DianaCeleiro!H40&gt;DianaCeleiro!F40,1,0)</f>
        <v>0</v>
      </c>
      <c r="P12">
        <f>IF(DianaCeleiro!F8&gt;DianaCeleiro!H8,1,0)</f>
        <v>0</v>
      </c>
      <c r="Q12">
        <f>SUM(K12:L12,N12)</f>
        <v>0</v>
      </c>
      <c r="R12">
        <f>SUM(N12:P12)</f>
        <v>0</v>
      </c>
      <c r="S12">
        <f>SUM(L12,M12,P12)</f>
        <v>0</v>
      </c>
      <c r="U12">
        <f>SUM(K12:P12)</f>
        <v>0</v>
      </c>
      <c r="W12" s="3">
        <v>3</v>
      </c>
      <c r="X12" s="3" t="s">
        <v>55</v>
      </c>
      <c r="Y12" s="3" t="s">
        <v>56</v>
      </c>
      <c r="Z12" s="3">
        <f>DianaCeleiro!F13+DianaCeleiro!H30+DianaCeleiro!H46</f>
        <v>0</v>
      </c>
      <c r="AA12" s="3">
        <f>DianaCeleiro!H13+DianaCeleiro!F30+DianaCeleiro!F46</f>
        <v>0</v>
      </c>
      <c r="AB12" s="3">
        <f>Z12-AA12</f>
        <v>0</v>
      </c>
      <c r="AC12" s="3">
        <f>IF(DianaCeleiro!F13="",0,1)+IF(DianaCeleiro!H30="",0,1)+IF(DianaCeleiro!H46="",0,1)</f>
        <v>0</v>
      </c>
      <c r="AD12" s="3">
        <f>IF(DianaCeleiro!F13="",0,IF(DianaCeleiro!F13&gt;DianaCeleiro!H13,3,IF(DianaCeleiro!H13&gt;DianaCeleiro!F13,0,1)))+IF(DianaCeleiro!H30="",0,IF(DianaCeleiro!H30&gt;DianaCeleiro!F30,3,IF(DianaCeleiro!F30&gt;DianaCeleiro!H30,0,1)))+IF(DianaCeleiro!F46="",0,IF(DianaCeleiro!H46&gt;DianaCeleiro!F46,3,IF(DianaCeleiro!F46&gt;DianaCeleiro!H46,0,1)))</f>
        <v>0</v>
      </c>
      <c r="AG12">
        <f>IF(DianaCeleiro!H30&gt;DianaCeleiro!F30,1,0)</f>
        <v>0</v>
      </c>
      <c r="AI12">
        <f>IF(DianaCeleiro!H46&gt;DianaCeleiro!F46,1,0)</f>
        <v>0</v>
      </c>
      <c r="AK12">
        <f>IF(DianaCeleiro!F13&gt;DianaCeleiro!H13,1,0)</f>
        <v>0</v>
      </c>
      <c r="AL12">
        <f>SUM(AF12:AG12,AI12)</f>
        <v>0</v>
      </c>
      <c r="AM12">
        <f>SUM(AI12:AK12)</f>
        <v>0</v>
      </c>
      <c r="AN12">
        <f>SUM(AG12,AH12,AK12)</f>
        <v>0</v>
      </c>
      <c r="AP12">
        <f>SUM(AF12:AK12)</f>
        <v>0</v>
      </c>
    </row>
    <row r="13" spans="2:55" x14ac:dyDescent="0.35">
      <c r="B13" s="3">
        <v>4</v>
      </c>
      <c r="C13" s="3" t="s">
        <v>57</v>
      </c>
      <c r="D13" s="3" t="s">
        <v>58</v>
      </c>
      <c r="E13" s="3">
        <f>DianaCeleiro!H8+DianaCeleiro!F21+DianaCeleiro!F39</f>
        <v>3</v>
      </c>
      <c r="F13" s="3">
        <f>DianaCeleiro!F8+DianaCeleiro!H21+DianaCeleiro!H39</f>
        <v>0</v>
      </c>
      <c r="G13" s="3">
        <f>E13-F13</f>
        <v>3</v>
      </c>
      <c r="H13" s="3">
        <f>IF(DianaCeleiro!H8="",0,1)+IF(DianaCeleiro!F21="",0,1)+IF(DianaCeleiro!F39="",0,1)</f>
        <v>1</v>
      </c>
      <c r="I13" s="3">
        <f>IF(DianaCeleiro!H8="",0,IF(DianaCeleiro!H8&gt;DianaCeleiro!F8,3,IF(DianaCeleiro!F8&gt;DianaCeleiro!H8,0,1)))+IF(DianaCeleiro!F21="",0,IF(DianaCeleiro!F21&gt;DianaCeleiro!H21,3,IF(DianaCeleiro!H21&gt;DianaCeleiro!F21,0,1)))+IF(DianaCeleiro!F39="",0,IF(DianaCeleiro!F39&gt;DianaCeleiro!H39,3,IF(DianaCeleiro!H39&gt;DianaCeleiro!F39,0,1)))</f>
        <v>3</v>
      </c>
      <c r="M13">
        <f>IF(DianaCeleiro!F39&gt;DianaCeleiro!H39,1,0)</f>
        <v>0</v>
      </c>
      <c r="O13">
        <f>IF(DianaCeleiro!F21&gt;DianaCeleiro!H21,1,0)</f>
        <v>0</v>
      </c>
      <c r="P13">
        <f>IF(DianaCeleiro!H8&gt;DianaCeleiro!F8,1,0)</f>
        <v>1</v>
      </c>
      <c r="R13">
        <f>SUM(N13:P13)</f>
        <v>1</v>
      </c>
      <c r="S13">
        <f>SUM(L13,M13,P13)</f>
        <v>1</v>
      </c>
      <c r="T13">
        <f>SUM(K13,M13,O13)</f>
        <v>0</v>
      </c>
      <c r="U13">
        <f>SUM(K13:P13)</f>
        <v>1</v>
      </c>
      <c r="W13" s="3">
        <v>4</v>
      </c>
      <c r="X13" s="3" t="s">
        <v>59</v>
      </c>
      <c r="Y13" s="3" t="s">
        <v>60</v>
      </c>
      <c r="Z13" s="3">
        <f>DianaCeleiro!H13+DianaCeleiro!F31+DianaCeleiro!F45</f>
        <v>0</v>
      </c>
      <c r="AA13" s="3">
        <f>DianaCeleiro!F13+DianaCeleiro!H31+DianaCeleiro!H45</f>
        <v>0</v>
      </c>
      <c r="AB13" s="3">
        <f>Z13-AA13</f>
        <v>0</v>
      </c>
      <c r="AC13" s="3">
        <f>IF(DianaCeleiro!H13="",0,1)+IF(DianaCeleiro!F31="",0,1)+IF(DianaCeleiro!F45="",0,1)</f>
        <v>0</v>
      </c>
      <c r="AD13" s="3">
        <f>IF(DianaCeleiro!H13="",0,IF(DianaCeleiro!H13&gt;DianaCeleiro!F13,3,IF(DianaCeleiro!F13&gt;DianaCeleiro!H13,0,1)))+IF(DianaCeleiro!F31="",0,IF(DianaCeleiro!F31&gt;DianaCeleiro!H31,3,IF(DianaCeleiro!H31&gt;DianaCeleiro!F31,0,1)))+IF(DianaCeleiro!F45="",0,IF(DianaCeleiro!F45&gt;DianaCeleiro!H45,3,IF(DianaCeleiro!H45&gt;DianaCeleiro!F45,0,1)))</f>
        <v>0</v>
      </c>
      <c r="AH13">
        <f>IF(DianaCeleiro!F45&gt;DianaCeleiro!H45,1,0)</f>
        <v>0</v>
      </c>
      <c r="AJ13">
        <f>IF(DianaCeleiro!F31&gt;DianaCeleiro!H31,1,0)</f>
        <v>0</v>
      </c>
      <c r="AK13">
        <f>IF(DianaCeleiro!H13&gt;DianaCeleiro!F13,1,0)</f>
        <v>0</v>
      </c>
      <c r="AM13">
        <f>SUM(AI13:AK13)</f>
        <v>0</v>
      </c>
      <c r="AN13">
        <f>SUM(AG13,AH13,AK13)</f>
        <v>0</v>
      </c>
      <c r="AO13">
        <f>SUM(AF13,AH13,AJ13)</f>
        <v>0</v>
      </c>
      <c r="AP13">
        <f>SUM(AF13:AK13)</f>
        <v>0</v>
      </c>
    </row>
    <row r="16" spans="2:55" x14ac:dyDescent="0.35">
      <c r="B16" s="1" t="s">
        <v>61</v>
      </c>
      <c r="C16" s="1" t="s">
        <v>62</v>
      </c>
      <c r="D16" s="1" t="s">
        <v>9</v>
      </c>
      <c r="E16" s="1" t="s">
        <v>10</v>
      </c>
      <c r="F16" s="1" t="s">
        <v>11</v>
      </c>
      <c r="G16" s="1" t="s">
        <v>12</v>
      </c>
      <c r="H16" s="1" t="s">
        <v>13</v>
      </c>
      <c r="I16" s="1" t="s">
        <v>14</v>
      </c>
      <c r="K16" s="6" t="s">
        <v>15</v>
      </c>
      <c r="L16" s="6" t="s">
        <v>16</v>
      </c>
      <c r="M16" s="6" t="s">
        <v>17</v>
      </c>
      <c r="N16" s="6" t="s">
        <v>18</v>
      </c>
      <c r="O16" s="6" t="s">
        <v>19</v>
      </c>
      <c r="P16" s="6" t="s">
        <v>20</v>
      </c>
      <c r="Q16" s="6" t="s">
        <v>21</v>
      </c>
      <c r="R16" s="6" t="s">
        <v>22</v>
      </c>
      <c r="S16" s="6" t="s">
        <v>23</v>
      </c>
      <c r="T16" s="6" t="s">
        <v>24</v>
      </c>
      <c r="U16" s="6" t="s">
        <v>25</v>
      </c>
      <c r="W16" s="1" t="s">
        <v>61</v>
      </c>
      <c r="X16" s="1" t="s">
        <v>63</v>
      </c>
      <c r="Y16" s="1" t="s">
        <v>9</v>
      </c>
      <c r="Z16" s="1" t="s">
        <v>10</v>
      </c>
      <c r="AA16" s="1" t="s">
        <v>11</v>
      </c>
      <c r="AB16" s="1" t="s">
        <v>12</v>
      </c>
      <c r="AC16" s="1" t="s">
        <v>13</v>
      </c>
      <c r="AD16" s="1" t="s">
        <v>14</v>
      </c>
      <c r="AE16" s="2"/>
      <c r="AF16" s="44" t="s">
        <v>15</v>
      </c>
      <c r="AG16" s="43" t="s">
        <v>16</v>
      </c>
      <c r="AH16" s="43" t="s">
        <v>17</v>
      </c>
      <c r="AI16" s="43" t="s">
        <v>18</v>
      </c>
      <c r="AJ16" s="43" t="s">
        <v>19</v>
      </c>
      <c r="AK16" s="43" t="s">
        <v>20</v>
      </c>
      <c r="AL16" s="43" t="s">
        <v>21</v>
      </c>
      <c r="AM16" s="43" t="s">
        <v>22</v>
      </c>
      <c r="AN16" s="43" t="s">
        <v>23</v>
      </c>
      <c r="AO16" s="43" t="s">
        <v>24</v>
      </c>
      <c r="AP16" s="43" t="s">
        <v>25</v>
      </c>
    </row>
    <row r="17" spans="2:42" x14ac:dyDescent="0.35">
      <c r="B17" s="3">
        <v>1</v>
      </c>
      <c r="C17" s="3" t="s">
        <v>64</v>
      </c>
      <c r="D17" s="3" t="s">
        <v>65</v>
      </c>
      <c r="E17" s="3">
        <f>DianaCeleiro!F9+DianaCeleiro!F28+DianaCeleiro!H43</f>
        <v>0</v>
      </c>
      <c r="F17" s="3">
        <f>DianaCeleiro!H9+DianaCeleiro!H28+DianaCeleiro!F43</f>
        <v>0</v>
      </c>
      <c r="G17" s="3">
        <f>E17-F17</f>
        <v>0</v>
      </c>
      <c r="H17" s="3">
        <f>IF(DianaCeleiro!F9="",0,1)+IF(DianaCeleiro!F28="",0,1)+IF(DianaCeleiro!H43="",0,1)</f>
        <v>0</v>
      </c>
      <c r="I17" s="3">
        <f>IF(DianaCeleiro!F9="",0,IF(DianaCeleiro!F9&gt;DianaCeleiro!H9,3,IF(DianaCeleiro!H9&gt;DianaCeleiro!F9,0,1)))+IF(DianaCeleiro!F28="",0,IF(DianaCeleiro!F28&gt;DianaCeleiro!H28,3,IF(DianaCeleiro!H28&gt;DianaCeleiro!F28,0,1)))+IF(DianaCeleiro!F43="",0,IF(DianaCeleiro!H43&gt;DianaCeleiro!F43,3,IF(DianaCeleiro!F43&gt;DianaCeleiro!H43,0,1)))</f>
        <v>0</v>
      </c>
      <c r="K17">
        <f>IF(DianaCeleiro!F9&gt;DianaCeleiro!H9,1,0)</f>
        <v>0</v>
      </c>
      <c r="L17">
        <f>IF(DianaCeleiro!F28&gt;DianaCeleiro!H28,1,0)</f>
        <v>0</v>
      </c>
      <c r="M17">
        <f>IF(DianaCeleiro!H43&gt;DianaCeleiro!F43,1,0)</f>
        <v>0</v>
      </c>
      <c r="Q17">
        <f>SUM(K17:L17,N17)</f>
        <v>0</v>
      </c>
      <c r="S17">
        <f>SUM(L17,M17,P17)</f>
        <v>0</v>
      </c>
      <c r="T17">
        <f>SUM(K17,M17,O17)</f>
        <v>0</v>
      </c>
      <c r="U17">
        <f>SUM(K17:P17)</f>
        <v>0</v>
      </c>
      <c r="W17" s="3">
        <v>1</v>
      </c>
      <c r="X17" s="3" t="s">
        <v>66</v>
      </c>
      <c r="Y17" s="3" t="s">
        <v>67</v>
      </c>
      <c r="Z17" s="3">
        <f>DianaCeleiro!F20+DianaCeleiro!F35+DianaCeleiro!H52</f>
        <v>0</v>
      </c>
      <c r="AA17" s="3">
        <f>DianaCeleiro!H20+DianaCeleiro!H35+DianaCeleiro!F52</f>
        <v>0</v>
      </c>
      <c r="AB17" s="3">
        <f>Z17-AA17</f>
        <v>0</v>
      </c>
      <c r="AC17" s="3">
        <f>IF(DianaCeleiro!F20="",0,1)+IF(DianaCeleiro!F35="",0,1)+IF(DianaCeleiro!H52="",0,1)</f>
        <v>0</v>
      </c>
      <c r="AD17" s="3">
        <f>IF(DianaCeleiro!F20="",0,IF(DianaCeleiro!F20&gt;DianaCeleiro!H20,3,IF(DianaCeleiro!H20&gt;DianaCeleiro!F20,0,1)))+IF(DianaCeleiro!F35="",0,IF(DianaCeleiro!F35&gt;DianaCeleiro!H35,3,IF(DianaCeleiro!H35&gt;DianaCeleiro!F35,0,1)))+IF(DianaCeleiro!F52="",0,IF(DianaCeleiro!H52&gt;DianaCeleiro!F52,3,IF(DianaCeleiro!F52&gt;DianaCeleiro!H52,0,1)))</f>
        <v>0</v>
      </c>
      <c r="AF17">
        <f>IF(DianaCeleiro!F20&gt;DianaCeleiro!H20,1,0)</f>
        <v>0</v>
      </c>
      <c r="AG17">
        <f>IF(DianaCeleiro!F35&gt;DianaCeleiro!H35,1,0)</f>
        <v>0</v>
      </c>
      <c r="AH17">
        <f>IF(DianaCeleiro!H52&gt;DianaCeleiro!F52,1,0)</f>
        <v>0</v>
      </c>
      <c r="AL17">
        <f>SUM(AF17:AG17,AI17)</f>
        <v>0</v>
      </c>
      <c r="AN17">
        <f>SUM(AG17,AH17,AK17)</f>
        <v>0</v>
      </c>
      <c r="AO17">
        <f>SUM(AF17,AH17,AJ17)</f>
        <v>0</v>
      </c>
      <c r="AP17">
        <f>SUM(AF17:AK17)</f>
        <v>0</v>
      </c>
    </row>
    <row r="18" spans="2:42" x14ac:dyDescent="0.35">
      <c r="B18" s="3">
        <v>2</v>
      </c>
      <c r="C18" s="3" t="s">
        <v>68</v>
      </c>
      <c r="D18" s="3" t="s">
        <v>69</v>
      </c>
      <c r="E18" s="3">
        <f>DianaCeleiro!H9+DianaCeleiro!H26+DianaCeleiro!F44</f>
        <v>0</v>
      </c>
      <c r="F18" s="3">
        <f>DianaCeleiro!F9+DianaCeleiro!F26+DianaCeleiro!H44</f>
        <v>0</v>
      </c>
      <c r="G18" s="3">
        <f>E18-F18</f>
        <v>0</v>
      </c>
      <c r="H18" s="3">
        <f>IF(DianaCeleiro!H9="",0,1)+IF(DianaCeleiro!H26="",0,1)+IF(DianaCeleiro!F44="",0,1)</f>
        <v>0</v>
      </c>
      <c r="I18" s="3">
        <f>IF(DianaCeleiro!H9="",0,IF(DianaCeleiro!H9&gt;DianaCeleiro!F9,3,IF(DianaCeleiro!F9&gt;DianaCeleiro!H9,0,1)))+IF(DianaCeleiro!H26="",0,IF(DianaCeleiro!H26&gt;DianaCeleiro!F26,3,IF(DianaCeleiro!F26&gt;DianaCeleiro!H26,0,1)))+IF(DianaCeleiro!F44="",0,IF(DianaCeleiro!F44&gt;DianaCeleiro!H44,3,IF(DianaCeleiro!H44&gt;DianaCeleiro!F44,0,1)))</f>
        <v>0</v>
      </c>
      <c r="K18">
        <f>IF(DianaCeleiro!H9&gt;DianaCeleiro!F9,1,0)</f>
        <v>0</v>
      </c>
      <c r="N18">
        <f>IF(DianaCeleiro!F44&gt;DianaCeleiro!H44,1,0)</f>
        <v>0</v>
      </c>
      <c r="O18">
        <f>IF(DianaCeleiro!H26&gt;DianaCeleiro!F26,1,0)</f>
        <v>0</v>
      </c>
      <c r="Q18">
        <f>SUM(K18:L18,N18)</f>
        <v>0</v>
      </c>
      <c r="R18">
        <f>SUM(N18:P18)</f>
        <v>0</v>
      </c>
      <c r="T18">
        <f>SUM(K18,M18,O18)</f>
        <v>0</v>
      </c>
      <c r="U18">
        <f>SUM(K18:P18)</f>
        <v>0</v>
      </c>
      <c r="W18" s="3">
        <v>2</v>
      </c>
      <c r="X18" s="3" t="s">
        <v>70</v>
      </c>
      <c r="Y18" s="3" t="s">
        <v>71</v>
      </c>
      <c r="Z18" s="3">
        <f>DianaCeleiro!H20+DianaCeleiro!H33+DianaCeleiro!F51</f>
        <v>0</v>
      </c>
      <c r="AA18" s="3">
        <f>DianaCeleiro!F20+DianaCeleiro!F33+DianaCeleiro!H51</f>
        <v>0</v>
      </c>
      <c r="AB18" s="3">
        <f>Z18-AA18</f>
        <v>0</v>
      </c>
      <c r="AC18" s="3">
        <f>IF(DianaCeleiro!H20="",0,1)+IF(DianaCeleiro!H33="",0,1)+IF(DianaCeleiro!F51="",0,1)</f>
        <v>0</v>
      </c>
      <c r="AD18" s="3">
        <f>IF(DianaCeleiro!H20="",0,IF(DianaCeleiro!H20&gt;DianaCeleiro!F20,3,IF(DianaCeleiro!F20&gt;DianaCeleiro!H20,0,1)))+IF(DianaCeleiro!H33="",0,IF(DianaCeleiro!H33&gt;DianaCeleiro!F33,3,IF(DianaCeleiro!F33&gt;DianaCeleiro!H33,0,1)))+IF(DianaCeleiro!F51="",0,IF(DianaCeleiro!F51&gt;DianaCeleiro!H51,3,IF(DianaCeleiro!H51&gt;DianaCeleiro!F51,0,1)))</f>
        <v>0</v>
      </c>
      <c r="AF18">
        <f>IF(DianaCeleiro!H20&gt;DianaCeleiro!F20,1,0)</f>
        <v>0</v>
      </c>
      <c r="AI18">
        <f>IF(DianaCeleiro!F51&gt;DianaCeleiro!H51,1,0)</f>
        <v>0</v>
      </c>
      <c r="AJ18">
        <f>IF(DianaCeleiro!H33&gt;DianaCeleiro!F33,1,0)</f>
        <v>0</v>
      </c>
      <c r="AL18">
        <f>SUM(AF18:AG18,AI18)</f>
        <v>0</v>
      </c>
      <c r="AM18">
        <f>SUM(AI18:AK18)</f>
        <v>0</v>
      </c>
      <c r="AO18">
        <f>SUM(AF18,AH18,AJ18)</f>
        <v>0</v>
      </c>
      <c r="AP18">
        <f>SUM(AF18:AK18)</f>
        <v>0</v>
      </c>
    </row>
    <row r="19" spans="2:42" x14ac:dyDescent="0.35">
      <c r="B19" s="3">
        <v>3</v>
      </c>
      <c r="C19" s="3" t="s">
        <v>72</v>
      </c>
      <c r="D19" s="3" t="s">
        <v>73</v>
      </c>
      <c r="E19" s="3">
        <f>DianaCeleiro!F11+DianaCeleiro!H28+DianaCeleiro!H44</f>
        <v>0</v>
      </c>
      <c r="F19" s="3">
        <f>DianaCeleiro!H11+DianaCeleiro!F28+DianaCeleiro!F44</f>
        <v>0</v>
      </c>
      <c r="G19" s="3">
        <f>E19-F19</f>
        <v>0</v>
      </c>
      <c r="H19" s="3">
        <f>IF(DianaCeleiro!F11="",0,1)+IF(DianaCeleiro!H28="",0,1)+IF(DianaCeleiro!H44="",0,1)</f>
        <v>0</v>
      </c>
      <c r="I19" s="3">
        <f>IF(DianaCeleiro!F11="",0,IF(DianaCeleiro!F11&gt;DianaCeleiro!H11,3,IF(DianaCeleiro!H11&gt;DianaCeleiro!F11,0,1)))+IF(DianaCeleiro!H28="",0,IF(DianaCeleiro!H28&gt;DianaCeleiro!F28,3,IF(DianaCeleiro!F28&gt;DianaCeleiro!H28,0,1)))+IF(DianaCeleiro!F44="",0,IF(DianaCeleiro!H44&gt;DianaCeleiro!F44,3,IF(DianaCeleiro!F44&gt;DianaCeleiro!H44,0,1)))</f>
        <v>0</v>
      </c>
      <c r="L19">
        <f>IF(DianaCeleiro!H28&gt;DianaCeleiro!F28,1,0)</f>
        <v>0</v>
      </c>
      <c r="N19">
        <f>IF(DianaCeleiro!H44&gt;DianaCeleiro!F44,1,0)</f>
        <v>0</v>
      </c>
      <c r="P19">
        <f>IF(DianaCeleiro!F11&gt;DianaCeleiro!H11,1,0)</f>
        <v>0</v>
      </c>
      <c r="Q19">
        <f>SUM(K19:L19,N19)</f>
        <v>0</v>
      </c>
      <c r="R19">
        <f>SUM(N19:P19)</f>
        <v>0</v>
      </c>
      <c r="S19">
        <f>SUM(L19,M19,P19)</f>
        <v>0</v>
      </c>
      <c r="U19">
        <f>SUM(K19:P19)</f>
        <v>0</v>
      </c>
      <c r="W19" s="3">
        <v>3</v>
      </c>
      <c r="X19" s="3" t="s">
        <v>74</v>
      </c>
      <c r="Y19" s="3" t="s">
        <v>75</v>
      </c>
      <c r="Z19" s="3">
        <f>DianaCeleiro!F17+DianaCeleiro!H35+DianaCeleiro!H51</f>
        <v>0</v>
      </c>
      <c r="AA19" s="3">
        <f>DianaCeleiro!H17+DianaCeleiro!F35+DianaCeleiro!F51</f>
        <v>0</v>
      </c>
      <c r="AB19" s="3">
        <f>Z19-AA19</f>
        <v>0</v>
      </c>
      <c r="AC19" s="3">
        <f>IF(DianaCeleiro!F17="",0,1)+IF(DianaCeleiro!H35="",0,1)+IF(DianaCeleiro!H51="",0,1)</f>
        <v>0</v>
      </c>
      <c r="AD19" s="3">
        <f>IF(DianaCeleiro!F17="",0,IF(DianaCeleiro!F17&gt;DianaCeleiro!H17,3,IF(DianaCeleiro!H17&gt;DianaCeleiro!F17,0,1)))+IF(DianaCeleiro!H35="",0,IF(DianaCeleiro!H35&gt;DianaCeleiro!F35,3,IF(DianaCeleiro!F35&gt;DianaCeleiro!H35,0,1)))+IF(DianaCeleiro!F51="",0,IF(DianaCeleiro!H51&gt;DianaCeleiro!F51,3,IF(DianaCeleiro!F51&gt;DianaCeleiro!H51,0,1)))</f>
        <v>0</v>
      </c>
      <c r="AG19">
        <f>IF(DianaCeleiro!H35&gt;DianaCeleiro!F35,1,0)</f>
        <v>0</v>
      </c>
      <c r="AI19">
        <f>IF(DianaCeleiro!H51&gt;DianaCeleiro!F51,1,0)</f>
        <v>0</v>
      </c>
      <c r="AK19">
        <f>IF(DianaCeleiro!F17&gt;DianaCeleiro!H17,1,0)</f>
        <v>0</v>
      </c>
      <c r="AL19">
        <f>SUM(AF19:AG19,AI19)</f>
        <v>0</v>
      </c>
      <c r="AM19">
        <f>SUM(AI19:AK19)</f>
        <v>0</v>
      </c>
      <c r="AN19">
        <f>SUM(AG19,AH19,AK19)</f>
        <v>0</v>
      </c>
      <c r="AP19">
        <f>SUM(AF19:AK19)</f>
        <v>0</v>
      </c>
    </row>
    <row r="20" spans="2:42" x14ac:dyDescent="0.35">
      <c r="B20" s="3">
        <v>4</v>
      </c>
      <c r="C20" s="3" t="s">
        <v>76</v>
      </c>
      <c r="D20" s="3" t="s">
        <v>77</v>
      </c>
      <c r="E20" s="3">
        <f>DianaCeleiro!H11+DianaCeleiro!F26+DianaCeleiro!F43</f>
        <v>0</v>
      </c>
      <c r="F20" s="3">
        <f>DianaCeleiro!F11+DianaCeleiro!H26+DianaCeleiro!H43</f>
        <v>0</v>
      </c>
      <c r="G20" s="3">
        <f>E20-F20</f>
        <v>0</v>
      </c>
      <c r="H20" s="3">
        <f>IF(DianaCeleiro!H11="",0,1)+IF(DianaCeleiro!F26="",0,1)+IF(DianaCeleiro!F43="",0,1)</f>
        <v>0</v>
      </c>
      <c r="I20" s="3">
        <f>IF(DianaCeleiro!H11="",0,IF(DianaCeleiro!H11&gt;DianaCeleiro!F11,3,IF(DianaCeleiro!F11&gt;DianaCeleiro!H11,0,1)))+IF(DianaCeleiro!F26="",0,IF(DianaCeleiro!F26&gt;DianaCeleiro!H26,3,IF(DianaCeleiro!H26&gt;DianaCeleiro!F26,0,1)))+IF(DianaCeleiro!F43="",0,IF(DianaCeleiro!F43&gt;DianaCeleiro!H43,3,IF(DianaCeleiro!H43&gt;DianaCeleiro!F43,0,1)))</f>
        <v>0</v>
      </c>
      <c r="M20">
        <f>IF(DianaCeleiro!F43&gt;DianaCeleiro!H43,1,0)</f>
        <v>0</v>
      </c>
      <c r="O20">
        <f>IF(DianaCeleiro!F26&gt;DianaCeleiro!H26,1,0)</f>
        <v>0</v>
      </c>
      <c r="P20">
        <f>IF(DianaCeleiro!H11&gt;DianaCeleiro!F11,1,0)</f>
        <v>0</v>
      </c>
      <c r="R20">
        <f>SUM(N20:P20)</f>
        <v>0</v>
      </c>
      <c r="S20">
        <f>SUM(L20,M20,P20)</f>
        <v>0</v>
      </c>
      <c r="T20">
        <f>SUM(K20,M20,O20)</f>
        <v>0</v>
      </c>
      <c r="U20">
        <f>SUM(K20:P20)</f>
        <v>0</v>
      </c>
      <c r="W20" s="3">
        <v>4</v>
      </c>
      <c r="X20" s="3" t="s">
        <v>78</v>
      </c>
      <c r="Y20" s="3" t="s">
        <v>79</v>
      </c>
      <c r="Z20" s="3">
        <f>DianaCeleiro!H17+DianaCeleiro!F33+DianaCeleiro!F52</f>
        <v>0</v>
      </c>
      <c r="AA20" s="3">
        <f>DianaCeleiro!F17+DianaCeleiro!H33+DianaCeleiro!H52</f>
        <v>0</v>
      </c>
      <c r="AB20" s="3">
        <f>Z20-AA20</f>
        <v>0</v>
      </c>
      <c r="AC20" s="3">
        <f>IF(DianaCeleiro!H17="",0,1)+IF(DianaCeleiro!F33="",0,1)+IF(DianaCeleiro!F52="",0,1)</f>
        <v>0</v>
      </c>
      <c r="AD20" s="3">
        <f>IF(DianaCeleiro!H17="",0,IF(DianaCeleiro!H17&gt;DianaCeleiro!F17,3,IF(DianaCeleiro!F17&gt;DianaCeleiro!H17,0,1)))+IF(DianaCeleiro!F33="",0,IF(DianaCeleiro!F33&gt;DianaCeleiro!H33,3,IF(DianaCeleiro!H33&gt;DianaCeleiro!F33,0,1)))+IF(DianaCeleiro!F52="",0,IF(DianaCeleiro!F52&gt;DianaCeleiro!H52,3,IF(DianaCeleiro!H52&gt;DianaCeleiro!F52,0,1)))</f>
        <v>0</v>
      </c>
      <c r="AH20">
        <f>IF(DianaCeleiro!F52&gt;DianaCeleiro!H52,1,0)</f>
        <v>0</v>
      </c>
      <c r="AJ20">
        <f>IF(DianaCeleiro!F33&gt;DianaCeleiro!H33,1,0)</f>
        <v>0</v>
      </c>
      <c r="AK20">
        <f>IF(DianaCeleiro!H17&gt;DianaCeleiro!F17,1,0)</f>
        <v>0</v>
      </c>
      <c r="AM20">
        <f>SUM(AI20:AK20)</f>
        <v>0</v>
      </c>
      <c r="AN20">
        <f>SUM(AG20,AH20,AK20)</f>
        <v>0</v>
      </c>
      <c r="AO20">
        <f>SUM(AF20,AH20,AJ20)</f>
        <v>0</v>
      </c>
      <c r="AP20">
        <f>SUM(AF20:AK20)</f>
        <v>0</v>
      </c>
    </row>
    <row r="23" spans="2:42" x14ac:dyDescent="0.35">
      <c r="B23" s="1" t="s">
        <v>61</v>
      </c>
      <c r="C23" s="1" t="s">
        <v>80</v>
      </c>
      <c r="D23" s="1" t="s">
        <v>9</v>
      </c>
      <c r="E23" s="1" t="s">
        <v>10</v>
      </c>
      <c r="F23" s="1" t="s">
        <v>11</v>
      </c>
      <c r="G23" s="1" t="s">
        <v>12</v>
      </c>
      <c r="H23" s="1" t="s">
        <v>13</v>
      </c>
      <c r="I23" s="1" t="s">
        <v>14</v>
      </c>
      <c r="K23" s="6" t="s">
        <v>15</v>
      </c>
      <c r="L23" s="6" t="s">
        <v>16</v>
      </c>
      <c r="M23" s="6" t="s">
        <v>17</v>
      </c>
      <c r="N23" s="6" t="s">
        <v>18</v>
      </c>
      <c r="O23" s="6" t="s">
        <v>19</v>
      </c>
      <c r="P23" s="6" t="s">
        <v>20</v>
      </c>
      <c r="Q23" s="6" t="s">
        <v>21</v>
      </c>
      <c r="R23" s="6" t="s">
        <v>22</v>
      </c>
      <c r="S23" s="6" t="s">
        <v>23</v>
      </c>
      <c r="T23" s="6" t="s">
        <v>24</v>
      </c>
      <c r="U23" s="6" t="s">
        <v>25</v>
      </c>
      <c r="W23" s="1" t="s">
        <v>7</v>
      </c>
      <c r="X23" s="1" t="s">
        <v>81</v>
      </c>
      <c r="Y23" s="1" t="s">
        <v>9</v>
      </c>
      <c r="Z23" s="1" t="s">
        <v>10</v>
      </c>
      <c r="AA23" s="1" t="s">
        <v>11</v>
      </c>
      <c r="AB23" s="1" t="s">
        <v>12</v>
      </c>
      <c r="AC23" s="1" t="s">
        <v>13</v>
      </c>
      <c r="AD23" s="1" t="s">
        <v>14</v>
      </c>
      <c r="AE23" s="2"/>
      <c r="AF23" s="44" t="s">
        <v>15</v>
      </c>
      <c r="AG23" s="43" t="s">
        <v>16</v>
      </c>
      <c r="AH23" s="43" t="s">
        <v>17</v>
      </c>
      <c r="AI23" s="43" t="s">
        <v>18</v>
      </c>
      <c r="AJ23" s="43" t="s">
        <v>19</v>
      </c>
      <c r="AK23" s="43" t="s">
        <v>20</v>
      </c>
      <c r="AL23" s="43" t="s">
        <v>21</v>
      </c>
      <c r="AM23" s="43" t="s">
        <v>22</v>
      </c>
      <c r="AN23" s="43" t="s">
        <v>23</v>
      </c>
      <c r="AO23" s="43" t="s">
        <v>24</v>
      </c>
      <c r="AP23" s="43" t="s">
        <v>25</v>
      </c>
    </row>
    <row r="24" spans="2:42" x14ac:dyDescent="0.35">
      <c r="B24" s="3">
        <v>1</v>
      </c>
      <c r="C24" s="3" t="s">
        <v>82</v>
      </c>
      <c r="D24" s="3" t="s">
        <v>83</v>
      </c>
      <c r="E24" s="3">
        <f>DianaCeleiro!F12+DianaCeleiro!F27+DianaCeleiro!H42</f>
        <v>0</v>
      </c>
      <c r="F24" s="3">
        <f>DianaCeleiro!H12+DianaCeleiro!H27+DianaCeleiro!F42</f>
        <v>0</v>
      </c>
      <c r="G24" s="3">
        <f>E24-F24</f>
        <v>0</v>
      </c>
      <c r="H24" s="3">
        <f>IF(DianaCeleiro!F12="",0,1)+IF(DianaCeleiro!F27="",0,1)+IF(DianaCeleiro!H42="",0,1)</f>
        <v>0</v>
      </c>
      <c r="I24" s="3">
        <f>IF(DianaCeleiro!F12="",0,IF(DianaCeleiro!F12&gt;DianaCeleiro!H12,3,IF(DianaCeleiro!H12&gt;DianaCeleiro!F12,0,1)))+IF(DianaCeleiro!F27="",0,IF(DianaCeleiro!F27&gt;DianaCeleiro!H27,3,IF(DianaCeleiro!H27&gt;DianaCeleiro!F27,0,1)))+IF(DianaCeleiro!F42="",0,IF(DianaCeleiro!H42&gt;DianaCeleiro!F42,3,IF(DianaCeleiro!F42&gt;DianaCeleiro!H42,0,1)))</f>
        <v>0</v>
      </c>
      <c r="K24">
        <f>IF(DianaCeleiro!F27&gt;DianaCeleiro!H27,1,0)</f>
        <v>0</v>
      </c>
      <c r="L24">
        <f>IF(DianaCeleiro!H42&gt;DianaCeleiro!F42,1,0)</f>
        <v>0</v>
      </c>
      <c r="M24">
        <f>IF(DianaCeleiro!F12&gt;DianaCeleiro!H12,1,0)</f>
        <v>0</v>
      </c>
      <c r="Q24">
        <f>SUM(K24:L24,N24)</f>
        <v>0</v>
      </c>
      <c r="S24">
        <f>SUM(L24,M24,P24)</f>
        <v>0</v>
      </c>
      <c r="T24">
        <f>SUM(K24,M24,O24)</f>
        <v>0</v>
      </c>
      <c r="U24">
        <f>SUM(K24:P24)</f>
        <v>0</v>
      </c>
      <c r="W24" s="3">
        <v>1</v>
      </c>
      <c r="X24" s="3" t="s">
        <v>84</v>
      </c>
      <c r="Y24" s="3" t="s">
        <v>85</v>
      </c>
      <c r="Z24" s="3">
        <f>DianaCeleiro!F19+DianaCeleiro!F36+DianaCeleiro!H50</f>
        <v>0</v>
      </c>
      <c r="AA24" s="3">
        <f>DianaCeleiro!H19+DianaCeleiro!H36+DianaCeleiro!F50</f>
        <v>0</v>
      </c>
      <c r="AB24" s="3">
        <f>Z24-AA24</f>
        <v>0</v>
      </c>
      <c r="AC24" s="3">
        <f>IF(DianaCeleiro!F19="",0,1)+IF(DianaCeleiro!F36="",0,1)+IF(DianaCeleiro!H50="",0,1)</f>
        <v>0</v>
      </c>
      <c r="AD24" s="3">
        <f>IF(DianaCeleiro!F19="",0,IF(DianaCeleiro!F19&gt;DianaCeleiro!H19,3,IF(DianaCeleiro!H19&gt;DianaCeleiro!F19,0,1)))+IF(DianaCeleiro!F36="",0,IF(DianaCeleiro!F36&gt;DianaCeleiro!H36,3,IF(DianaCeleiro!H36&gt;DianaCeleiro!F36,0,1)))+IF(DianaCeleiro!F50="",0,IF(DianaCeleiro!H50&gt;DianaCeleiro!F50,3,IF(DianaCeleiro!F50&gt;DianaCeleiro!H50,0,1)))</f>
        <v>0</v>
      </c>
      <c r="AF24">
        <f>IF(DianaCeleiro!F19&gt;DianaCeleiro!H19,1,0)</f>
        <v>0</v>
      </c>
      <c r="AG24">
        <f>IF(DianaCeleiro!F36&gt;DianaCeleiro!H36,1,0)</f>
        <v>0</v>
      </c>
      <c r="AH24">
        <f>IF(DianaCeleiro!H50&gt;DianaCeleiro!F50,1,0)</f>
        <v>0</v>
      </c>
      <c r="AL24">
        <f>SUM(AF24:AG24,AI24)</f>
        <v>0</v>
      </c>
      <c r="AN24">
        <f>SUM(AG24,AH24,AK24)</f>
        <v>0</v>
      </c>
      <c r="AO24">
        <f>SUM(AF24,AH24,AJ24)</f>
        <v>0</v>
      </c>
      <c r="AP24">
        <f>SUM(AF24:AK24)</f>
        <v>0</v>
      </c>
    </row>
    <row r="25" spans="2:42" x14ac:dyDescent="0.35">
      <c r="B25" s="3">
        <v>2</v>
      </c>
      <c r="C25" s="3" t="s">
        <v>86</v>
      </c>
      <c r="D25" s="3" t="s">
        <v>87</v>
      </c>
      <c r="E25" s="3">
        <f>DianaCeleiro!F10+DianaCeleiro!H27+DianaCeleiro!H41</f>
        <v>0</v>
      </c>
      <c r="F25" s="3">
        <f>DianaCeleiro!H10+DianaCeleiro!F27+DianaCeleiro!F41</f>
        <v>0</v>
      </c>
      <c r="G25" s="3">
        <f>E25-F25</f>
        <v>0</v>
      </c>
      <c r="H25" s="3">
        <f>IF(DianaCeleiro!F10="",0,1)+IF(DianaCeleiro!H27="",0,1)+IF(DianaCeleiro!H41="",0,1)</f>
        <v>0</v>
      </c>
      <c r="I25" s="3">
        <f>IF(DianaCeleiro!H10="",0,IF(DianaCeleiro!H10&gt;DianaCeleiro!F10,3,IF(DianaCeleiro!F10&gt;DianaCeleiro!H10,0,1)))+IF(DianaCeleiro!H27="",0,IF(DianaCeleiro!H27&gt;DianaCeleiro!F27,3,IF(DianaCeleiro!F27&gt;DianaCeleiro!H27,0,1)))+IF(DianaCeleiro!F41="",0,IF(DianaCeleiro!F41&gt;DianaCeleiro!H41,3,IF(DianaCeleiro!H41&gt;DianaCeleiro!F41,0,1)))</f>
        <v>0</v>
      </c>
      <c r="K25">
        <f>IF(DianaCeleiro!H27&gt;DianaCeleiro!F27,1,0)</f>
        <v>0</v>
      </c>
      <c r="N25">
        <f>IF(DianaCeleiro!F10&gt;DianaCeleiro!H10,1,0)</f>
        <v>0</v>
      </c>
      <c r="O25">
        <f>IF(DianaCeleiro!H41&gt;DianaCeleiro!F41,1,0)</f>
        <v>0</v>
      </c>
      <c r="Q25">
        <f>SUM(K25:L25,N25)</f>
        <v>0</v>
      </c>
      <c r="R25">
        <f>SUM(N25:P25)</f>
        <v>0</v>
      </c>
      <c r="T25">
        <f>SUM(K25,M25,O25)</f>
        <v>0</v>
      </c>
      <c r="U25">
        <f>SUM(K25:P25)</f>
        <v>0</v>
      </c>
      <c r="W25" s="3">
        <v>2</v>
      </c>
      <c r="X25" s="3" t="s">
        <v>88</v>
      </c>
      <c r="Y25" s="3" t="s">
        <v>89</v>
      </c>
      <c r="Z25" s="3">
        <f>DianaCeleiro!H19+DianaCeleiro!H34+DianaCeleiro!F49</f>
        <v>0</v>
      </c>
      <c r="AA25" s="3">
        <f>DianaCeleiro!F19+DianaCeleiro!F34+DianaCeleiro!H49</f>
        <v>0</v>
      </c>
      <c r="AB25" s="3">
        <f>Z25-AA25</f>
        <v>0</v>
      </c>
      <c r="AC25" s="3">
        <f>IF(DianaCeleiro!H19="",0,1)+IF(DianaCeleiro!H34="",0,1)+IF(DianaCeleiro!F49="",0,1)</f>
        <v>0</v>
      </c>
      <c r="AD25" s="3">
        <f>IF(DianaCeleiro!H19="",0,IF(DianaCeleiro!H19&gt;DianaCeleiro!F19,3,IF(DianaCeleiro!F19&gt;DianaCeleiro!H19,0,1)))+IF(DianaCeleiro!H34="",0,IF(DianaCeleiro!H34&gt;DianaCeleiro!F34,3,IF(DianaCeleiro!F34&gt;DianaCeleiro!H34,0,1)))+IF(DianaCeleiro!F49="",0,IF(DianaCeleiro!F49&gt;DianaCeleiro!H49,3,IF(DianaCeleiro!H49&gt;DianaCeleiro!F49,0,1)))</f>
        <v>0</v>
      </c>
      <c r="AF25">
        <f>IF(DianaCeleiro!H19&gt;DianaCeleiro!F19,1,0)</f>
        <v>0</v>
      </c>
      <c r="AI25">
        <f>IF(DianaCeleiro!F49&gt;DianaCeleiro!H49,1,0)</f>
        <v>0</v>
      </c>
      <c r="AJ25">
        <f>IF(DianaCeleiro!H34&gt;DianaCeleiro!F34,1,0)</f>
        <v>0</v>
      </c>
      <c r="AL25">
        <f>SUM(AF25:AG25,AI25)</f>
        <v>0</v>
      </c>
      <c r="AM25">
        <f>SUM(AI25:AK25)</f>
        <v>0</v>
      </c>
      <c r="AO25">
        <f>SUM(AF25,AH25,AJ25)</f>
        <v>0</v>
      </c>
      <c r="AP25">
        <f>SUM(AF25:AK25)</f>
        <v>0</v>
      </c>
    </row>
    <row r="26" spans="2:42" x14ac:dyDescent="0.35">
      <c r="B26" s="3">
        <v>3</v>
      </c>
      <c r="C26" s="3" t="s">
        <v>90</v>
      </c>
      <c r="D26" s="3" t="s">
        <v>91</v>
      </c>
      <c r="E26" s="3">
        <f>DianaCeleiro!H10+DianaCeleiro!F25+DianaCeleiro!F42</f>
        <v>0</v>
      </c>
      <c r="F26" s="3">
        <f>DianaCeleiro!F10+DianaCeleiro!H25+DianaCeleiro!H42</f>
        <v>0</v>
      </c>
      <c r="G26" s="3">
        <f>E26-F26</f>
        <v>0</v>
      </c>
      <c r="H26" s="3">
        <f>IF(DianaCeleiro!H10="",0,1)+IF(DianaCeleiro!F25="",0,1)+IF(DianaCeleiro!F42="",0,1)</f>
        <v>0</v>
      </c>
      <c r="I26" s="3">
        <f>IF(DianaCeleiro!H10="",0,IF(DianaCeleiro!H10&gt;DianaCeleiro!F10,3,IF(DianaCeleiro!F10&gt;DianaCeleiro!H10,0,1)))+IF(DianaCeleiro!F25="",0,IF(DianaCeleiro!F25&gt;DianaCeleiro!H25,3,IF(DianaCeleiro!H25&gt;DianaCeleiro!F25,0,1)))+IF(DianaCeleiro!F42="",0,IF(DianaCeleiro!F42&gt;DianaCeleiro!H42,3,IF(DianaCeleiro!H42&gt;DianaCeleiro!F42,0,1)))</f>
        <v>0</v>
      </c>
      <c r="L26">
        <f>IF(DianaCeleiro!F42&gt;DianaCeleiro!H42,1,0)</f>
        <v>0</v>
      </c>
      <c r="N26">
        <f>IF(DianaCeleiro!H10&gt;DianaCeleiro!F10,1,0)</f>
        <v>0</v>
      </c>
      <c r="P26">
        <f>IF(DianaCeleiro!F25&gt;DianaCeleiro!H25,1,0)</f>
        <v>0</v>
      </c>
      <c r="Q26">
        <f>SUM(K26:L26,N26)</f>
        <v>0</v>
      </c>
      <c r="R26">
        <f>SUM(N26:P26)</f>
        <v>0</v>
      </c>
      <c r="S26">
        <f>SUM(L26,M26,P26)</f>
        <v>0</v>
      </c>
      <c r="U26">
        <f>SUM(K26:P26)</f>
        <v>0</v>
      </c>
      <c r="W26" s="3">
        <v>3</v>
      </c>
      <c r="X26" s="3" t="s">
        <v>92</v>
      </c>
      <c r="Y26" s="3" t="s">
        <v>93</v>
      </c>
      <c r="Z26" s="3">
        <f>DianaCeleiro!F18+DianaCeleiro!H36+DianaCeleiro!H49</f>
        <v>0</v>
      </c>
      <c r="AA26" s="3">
        <f>DianaCeleiro!H18+DianaCeleiro!F36+DianaCeleiro!F49</f>
        <v>0</v>
      </c>
      <c r="AB26" s="3">
        <f>Z26-AA26</f>
        <v>0</v>
      </c>
      <c r="AC26" s="3">
        <f>IF(DianaCeleiro!F18="",0,1)+IF(DianaCeleiro!H36="",0,1)+IF(DianaCeleiro!H49="",0,1)</f>
        <v>0</v>
      </c>
      <c r="AD26" s="3">
        <f>IF(DianaCeleiro!F18="",0,IF(DianaCeleiro!F18&gt;DianaCeleiro!H18,3,IF(DianaCeleiro!H18&gt;DianaCeleiro!F18,0,1)))+IF(DianaCeleiro!H36="",0,IF(DianaCeleiro!H36&gt;DianaCeleiro!F36,3,IF(DianaCeleiro!F36&gt;DianaCeleiro!H36,0,1)))+IF(DianaCeleiro!F49="",0,IF(DianaCeleiro!H49&gt;DianaCeleiro!F49,3,IF(DianaCeleiro!F49&gt;DianaCeleiro!H49,0,1)))</f>
        <v>0</v>
      </c>
      <c r="AG26">
        <f>IF(DianaCeleiro!H36&gt;DianaCeleiro!F36,1,0)</f>
        <v>0</v>
      </c>
      <c r="AI26">
        <f>IF(DianaCeleiro!H49&gt;DianaCeleiro!F49,1,0)</f>
        <v>0</v>
      </c>
      <c r="AK26">
        <f>IF(DianaCeleiro!F18&gt;DianaCeleiro!H18,1,0)</f>
        <v>0</v>
      </c>
      <c r="AL26">
        <f>SUM(AF26:AG26,AI26)</f>
        <v>0</v>
      </c>
      <c r="AM26">
        <f>SUM(AI26:AK26)</f>
        <v>0</v>
      </c>
      <c r="AN26">
        <f>SUM(AG26,AH26,AK26)</f>
        <v>0</v>
      </c>
      <c r="AP26">
        <f>SUM(AF26:AK26)</f>
        <v>0</v>
      </c>
    </row>
    <row r="27" spans="2:42" x14ac:dyDescent="0.35">
      <c r="B27" s="3">
        <v>4</v>
      </c>
      <c r="C27" s="3" t="s">
        <v>94</v>
      </c>
      <c r="D27" s="3" t="s">
        <v>95</v>
      </c>
      <c r="E27" s="3">
        <f>DianaCeleiro!H12+DianaCeleiro!H25+DianaCeleiro!F41</f>
        <v>0</v>
      </c>
      <c r="F27" s="3">
        <f>DianaCeleiro!F12+DianaCeleiro!F25+DianaCeleiro!H41</f>
        <v>0</v>
      </c>
      <c r="G27" s="3">
        <f>E27-F27</f>
        <v>0</v>
      </c>
      <c r="H27" s="3">
        <f>IF(DianaCeleiro!H12="",0,1)+IF(DianaCeleiro!H25="",0,1)+IF(DianaCeleiro!F41="",0,1)</f>
        <v>0</v>
      </c>
      <c r="I27" s="3">
        <f>IF(DianaCeleiro!H12="",0,IF(DianaCeleiro!H12&gt;DianaCeleiro!F12,3,IF(DianaCeleiro!F12&gt;DianaCeleiro!H12,0,1)))+IF(DianaCeleiro!H25="",0,IF(DianaCeleiro!H25&gt;DianaCeleiro!F25,3,IF(DianaCeleiro!F25&gt;DianaCeleiro!H25,0,1)))+IF(DianaCeleiro!F41="",0,IF(DianaCeleiro!F41&gt;DianaCeleiro!H41,3,IF(DianaCeleiro!H41&gt;DianaCeleiro!F41,0,1)))</f>
        <v>0</v>
      </c>
      <c r="M27">
        <f>IF(DianaCeleiro!H12&gt;DianaCeleiro!F12,1,0)</f>
        <v>0</v>
      </c>
      <c r="O27">
        <f>IF(DianaCeleiro!F41&gt;DianaCeleiro!H41,1,0)</f>
        <v>0</v>
      </c>
      <c r="P27">
        <f>IF(DianaCeleiro!H25&gt;DianaCeleiro!F25,1,0)</f>
        <v>0</v>
      </c>
      <c r="R27">
        <f>SUM(N27:P27)</f>
        <v>0</v>
      </c>
      <c r="S27">
        <f>SUM(L27,M27,P27)</f>
        <v>0</v>
      </c>
      <c r="T27">
        <f>SUM(K27,M27,O27)</f>
        <v>0</v>
      </c>
      <c r="U27">
        <f>SUM(K27:P27)</f>
        <v>0</v>
      </c>
      <c r="W27" s="3">
        <v>4</v>
      </c>
      <c r="X27" s="3" t="s">
        <v>96</v>
      </c>
      <c r="Y27" s="3" t="s">
        <v>97</v>
      </c>
      <c r="Z27" s="3">
        <f>DianaCeleiro!H18+DianaCeleiro!F34+DianaCeleiro!F50</f>
        <v>0</v>
      </c>
      <c r="AA27" s="3">
        <f>DianaCeleiro!F18+DianaCeleiro!H34+DianaCeleiro!H50</f>
        <v>0</v>
      </c>
      <c r="AB27" s="3">
        <f>Z27-AA27</f>
        <v>0</v>
      </c>
      <c r="AC27" s="3">
        <f>IF(DianaCeleiro!H18="",0,1)+IF(DianaCeleiro!F34="",0,1)+IF(DianaCeleiro!F50="",0,1)</f>
        <v>0</v>
      </c>
      <c r="AD27" s="3">
        <f>IF(DianaCeleiro!H18="",0,IF(DianaCeleiro!H18&gt;DianaCeleiro!F18,3,IF(DianaCeleiro!F18&gt;DianaCeleiro!H18,0,1)))+IF(DianaCeleiro!F34="",0,IF(DianaCeleiro!F34&gt;DianaCeleiro!H34,3,IF(DianaCeleiro!H34&gt;DianaCeleiro!F34,0,1)))+IF(DianaCeleiro!F50="",0,IF(DianaCeleiro!F50&gt;DianaCeleiro!H50,3,IF(DianaCeleiro!H50&gt;DianaCeleiro!F50,0,1)))</f>
        <v>0</v>
      </c>
      <c r="AH27">
        <f>IF(DianaCeleiro!F50&gt;DianaCeleiro!H50,1,0)</f>
        <v>0</v>
      </c>
      <c r="AJ27">
        <f>IF(DianaCeleiro!F34&gt;DianaCeleiro!H34,1,0)</f>
        <v>0</v>
      </c>
      <c r="AK27">
        <f>IF(DianaCeleiro!H18&gt;DianaCeleiro!F18,1,0)</f>
        <v>0</v>
      </c>
      <c r="AM27">
        <f>SUM(AI27:AK27)</f>
        <v>0</v>
      </c>
      <c r="AN27">
        <f>SUM(AG27,AH27,AK27)</f>
        <v>0</v>
      </c>
      <c r="AO27">
        <f>SUM(AF27,AH27,AJ27)</f>
        <v>0</v>
      </c>
      <c r="AP27">
        <f>SUM(AF27:AK27)</f>
        <v>0</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6DE9-24FD-4E78-A4C5-E73887D13CBB}">
  <sheetPr codeName="Sheet2"/>
  <dimension ref="B2:AA74"/>
  <sheetViews>
    <sheetView showGridLines="0" zoomScale="70" zoomScaleNormal="70" workbookViewId="0"/>
  </sheetViews>
  <sheetFormatPr defaultColWidth="8.7265625" defaultRowHeight="14.5" outlineLevelRow="1" x14ac:dyDescent="0.35"/>
  <cols>
    <col min="1" max="1" width="1.453125" style="7" customWidth="1"/>
    <col min="2" max="2" width="10.453125" style="7" bestFit="1" customWidth="1"/>
    <col min="3" max="3" width="8.453125" style="7" bestFit="1" customWidth="1"/>
    <col min="4" max="4" width="9.81640625" style="7" bestFit="1" customWidth="1"/>
    <col min="5" max="5" width="14" style="7" bestFit="1" customWidth="1"/>
    <col min="6" max="6" width="3.7265625" style="19" customWidth="1"/>
    <col min="7" max="7" width="3.7265625" style="7" customWidth="1"/>
    <col min="8" max="8" width="3.7265625" style="19" customWidth="1"/>
    <col min="9" max="9" width="14" style="7" bestFit="1" customWidth="1"/>
    <col min="10" max="11" width="4.7265625" style="7" customWidth="1"/>
    <col min="12" max="12" width="2" style="7" customWidth="1"/>
    <col min="13" max="13" width="11.81640625" style="7" bestFit="1" customWidth="1"/>
    <col min="14" max="19" width="8.7265625" style="7"/>
    <col min="20" max="20" width="14" style="7" bestFit="1" customWidth="1"/>
    <col min="21" max="25" width="8.7265625" style="7"/>
    <col min="26" max="26" width="2" style="7" customWidth="1"/>
    <col min="27" max="27" width="8.7265625" style="7" customWidth="1"/>
    <col min="28" max="16384" width="8.7265625" style="7"/>
  </cols>
  <sheetData>
    <row r="2" spans="2:27" x14ac:dyDescent="0.35">
      <c r="AA2" s="20"/>
    </row>
    <row r="3" spans="2:27" ht="29.5" customHeight="1" thickBot="1" x14ac:dyDescent="0.4">
      <c r="B3" s="28" t="s">
        <v>98</v>
      </c>
      <c r="C3" s="28" t="s">
        <v>99</v>
      </c>
      <c r="D3" s="28" t="s">
        <v>7</v>
      </c>
      <c r="E3" s="28" t="s">
        <v>100</v>
      </c>
      <c r="F3" s="28"/>
      <c r="G3" s="28"/>
      <c r="H3" s="28"/>
      <c r="I3" s="28" t="s">
        <v>101</v>
      </c>
      <c r="S3" s="21"/>
    </row>
    <row r="4" spans="2:27" ht="8.5" customHeight="1" thickTop="1" thickBot="1" x14ac:dyDescent="0.4">
      <c r="B4" s="42"/>
      <c r="C4" s="42"/>
      <c r="D4" s="42"/>
      <c r="E4" s="42"/>
      <c r="F4" s="42"/>
      <c r="G4" s="42"/>
      <c r="H4" s="42"/>
      <c r="I4" s="42"/>
      <c r="S4" s="21"/>
    </row>
    <row r="5" spans="2:27" ht="20.25" customHeight="1" thickBot="1" x14ac:dyDescent="0.4">
      <c r="B5" s="30" t="s">
        <v>102</v>
      </c>
      <c r="C5" s="23">
        <v>0.66666666666666663</v>
      </c>
      <c r="D5" s="19" t="s">
        <v>8</v>
      </c>
      <c r="E5" s="24" t="s">
        <v>28</v>
      </c>
      <c r="F5" s="31">
        <v>1</v>
      </c>
      <c r="G5" s="25" t="s">
        <v>103</v>
      </c>
      <c r="H5" s="31">
        <v>1</v>
      </c>
      <c r="I5" s="24" t="s">
        <v>32</v>
      </c>
      <c r="L5" s="22"/>
      <c r="M5" s="22"/>
      <c r="N5" s="22"/>
      <c r="O5" s="22"/>
      <c r="P5" s="22"/>
      <c r="Q5" s="22"/>
      <c r="R5" s="22"/>
      <c r="S5" s="22"/>
      <c r="T5" s="22"/>
      <c r="U5" s="22"/>
      <c r="V5" s="22"/>
      <c r="W5" s="22"/>
      <c r="X5" s="22"/>
      <c r="Y5" s="22"/>
      <c r="Z5" s="22"/>
    </row>
    <row r="6" spans="2:27" ht="20.25" customHeight="1" thickBot="1" x14ac:dyDescent="0.4">
      <c r="B6" s="58" t="s">
        <v>104</v>
      </c>
      <c r="C6" s="23">
        <v>0.54166666666666663</v>
      </c>
      <c r="D6" s="23" t="str">
        <f>dataMatch!E4</f>
        <v>B</v>
      </c>
      <c r="E6" s="24" t="str">
        <f>dataMatch!F4</f>
        <v>England</v>
      </c>
      <c r="F6" s="31">
        <v>3</v>
      </c>
      <c r="G6" s="25" t="s">
        <v>103</v>
      </c>
      <c r="H6" s="31">
        <v>0</v>
      </c>
      <c r="I6" s="24" t="str">
        <f>dataMatch!G4</f>
        <v>IR Iran</v>
      </c>
      <c r="L6" s="22"/>
      <c r="M6" s="61" t="s">
        <v>105</v>
      </c>
      <c r="N6" s="61"/>
      <c r="O6" s="61"/>
      <c r="P6" s="61"/>
      <c r="Q6" s="61"/>
      <c r="R6" s="61"/>
      <c r="S6" s="22"/>
      <c r="T6" s="61" t="s">
        <v>106</v>
      </c>
      <c r="U6" s="61"/>
      <c r="V6" s="61"/>
      <c r="W6" s="61"/>
      <c r="X6" s="61"/>
      <c r="Y6" s="61"/>
      <c r="Z6" s="22"/>
    </row>
    <row r="7" spans="2:27" ht="20.149999999999999" customHeight="1" thickTop="1" thickBot="1" x14ac:dyDescent="0.4">
      <c r="B7" s="58"/>
      <c r="C7" s="23">
        <v>0.66666666666666663</v>
      </c>
      <c r="D7" s="23" t="str">
        <f>dataMatch!E5</f>
        <v>A</v>
      </c>
      <c r="E7" s="24" t="str">
        <f>dataMatch!F5</f>
        <v>Senegal</v>
      </c>
      <c r="F7" s="31">
        <v>1</v>
      </c>
      <c r="G7" s="25" t="s">
        <v>103</v>
      </c>
      <c r="H7" s="31">
        <v>2</v>
      </c>
      <c r="I7" s="24" t="str">
        <f>dataMatch!G5</f>
        <v>Netherlands</v>
      </c>
      <c r="L7" s="22"/>
      <c r="M7" s="26" t="s">
        <v>9</v>
      </c>
      <c r="N7" s="46" t="s">
        <v>10</v>
      </c>
      <c r="O7" s="46" t="s">
        <v>11</v>
      </c>
      <c r="P7" s="46" t="s">
        <v>12</v>
      </c>
      <c r="Q7" s="46" t="s">
        <v>13</v>
      </c>
      <c r="R7" s="46" t="s">
        <v>14</v>
      </c>
      <c r="S7" s="22"/>
      <c r="T7" s="26" t="s">
        <v>9</v>
      </c>
      <c r="U7" s="46" t="s">
        <v>10</v>
      </c>
      <c r="V7" s="46" t="s">
        <v>11</v>
      </c>
      <c r="W7" s="46" t="s">
        <v>12</v>
      </c>
      <c r="X7" s="46" t="s">
        <v>13</v>
      </c>
      <c r="Y7" s="46" t="s">
        <v>14</v>
      </c>
      <c r="Z7" s="22"/>
    </row>
    <row r="8" spans="2:27" ht="20.149999999999999" customHeight="1" thickBot="1" x14ac:dyDescent="0.4">
      <c r="B8" s="58"/>
      <c r="C8" s="23">
        <v>0.79166666666666663</v>
      </c>
      <c r="D8" s="23" t="str">
        <f>dataMatch!E6</f>
        <v>B</v>
      </c>
      <c r="E8" s="24" t="str">
        <f>dataMatch!F6</f>
        <v>USA</v>
      </c>
      <c r="F8" s="31">
        <v>0</v>
      </c>
      <c r="G8" s="25" t="s">
        <v>103</v>
      </c>
      <c r="H8" s="31">
        <v>3</v>
      </c>
      <c r="I8" s="24" t="str">
        <f>dataMatch!G6</f>
        <v>Wales</v>
      </c>
      <c r="L8" s="22"/>
      <c r="M8" s="27" t="str">
        <f>groupDianaCeleiro!D3</f>
        <v>Qatar</v>
      </c>
      <c r="N8" s="45">
        <f>groupDianaCeleiro!E3</f>
        <v>1</v>
      </c>
      <c r="O8" s="45">
        <f>groupDianaCeleiro!F3</f>
        <v>1</v>
      </c>
      <c r="P8" s="45">
        <f>groupDianaCeleiro!G3</f>
        <v>0</v>
      </c>
      <c r="Q8" s="45">
        <f>groupDianaCeleiro!H3</f>
        <v>1</v>
      </c>
      <c r="R8" s="45">
        <f>groupDianaCeleiro!I3</f>
        <v>1</v>
      </c>
      <c r="S8" s="22"/>
      <c r="T8" s="27" t="str">
        <f>groupDianaCeleiro!Y3</f>
        <v>Spain</v>
      </c>
      <c r="U8" s="45">
        <f>groupDianaCeleiro!Z3</f>
        <v>0</v>
      </c>
      <c r="V8" s="45">
        <f>groupDianaCeleiro!AA3</f>
        <v>0</v>
      </c>
      <c r="W8" s="45">
        <f>groupDianaCeleiro!AB3</f>
        <v>0</v>
      </c>
      <c r="X8" s="45">
        <f>groupDianaCeleiro!AC3</f>
        <v>0</v>
      </c>
      <c r="Y8" s="45">
        <f>groupDianaCeleiro!AD3</f>
        <v>0</v>
      </c>
      <c r="Z8" s="22"/>
    </row>
    <row r="9" spans="2:27" ht="20.149999999999999" customHeight="1" thickBot="1" x14ac:dyDescent="0.4">
      <c r="B9" s="59" t="s">
        <v>107</v>
      </c>
      <c r="C9" s="23">
        <v>0.41666666666666669</v>
      </c>
      <c r="D9" s="23" t="str">
        <f>dataMatch!E7</f>
        <v>C</v>
      </c>
      <c r="E9" s="24" t="str">
        <f>dataMatch!F7</f>
        <v>Argentina</v>
      </c>
      <c r="F9" s="31"/>
      <c r="G9" s="25" t="s">
        <v>103</v>
      </c>
      <c r="H9" s="31"/>
      <c r="I9" s="24" t="str">
        <f>dataMatch!G7</f>
        <v>Saudi Arabia</v>
      </c>
      <c r="L9" s="22"/>
      <c r="M9" s="27" t="str">
        <f>groupDianaCeleiro!D4</f>
        <v>Ecuador</v>
      </c>
      <c r="N9" s="45">
        <f>groupDianaCeleiro!E4</f>
        <v>1</v>
      </c>
      <c r="O9" s="45">
        <f>groupDianaCeleiro!F4</f>
        <v>1</v>
      </c>
      <c r="P9" s="45">
        <f>groupDianaCeleiro!G4</f>
        <v>0</v>
      </c>
      <c r="Q9" s="45">
        <f>groupDianaCeleiro!H4</f>
        <v>1</v>
      </c>
      <c r="R9" s="45">
        <f>groupDianaCeleiro!I4</f>
        <v>1</v>
      </c>
      <c r="S9" s="22"/>
      <c r="T9" s="27" t="str">
        <f>groupDianaCeleiro!Y4</f>
        <v>Germany</v>
      </c>
      <c r="U9" s="45">
        <f>groupDianaCeleiro!Z4</f>
        <v>0</v>
      </c>
      <c r="V9" s="45">
        <f>groupDianaCeleiro!AA4</f>
        <v>0</v>
      </c>
      <c r="W9" s="45">
        <f>groupDianaCeleiro!AB4</f>
        <v>0</v>
      </c>
      <c r="X9" s="45">
        <f>groupDianaCeleiro!AC4</f>
        <v>0</v>
      </c>
      <c r="Y9" s="45">
        <f>groupDianaCeleiro!AD4</f>
        <v>0</v>
      </c>
      <c r="Z9" s="22"/>
    </row>
    <row r="10" spans="2:27" ht="20.149999999999999" customHeight="1" thickBot="1" x14ac:dyDescent="0.4">
      <c r="B10" s="59"/>
      <c r="C10" s="23">
        <v>0.54166666666666663</v>
      </c>
      <c r="D10" s="23" t="str">
        <f>dataMatch!E8</f>
        <v>D</v>
      </c>
      <c r="E10" s="24" t="str">
        <f>dataMatch!F8</f>
        <v>Denmark</v>
      </c>
      <c r="F10" s="31"/>
      <c r="G10" s="25" t="s">
        <v>103</v>
      </c>
      <c r="H10" s="31"/>
      <c r="I10" s="24" t="str">
        <f>dataMatch!G8</f>
        <v>Tunisia</v>
      </c>
      <c r="L10" s="22"/>
      <c r="M10" s="27" t="str">
        <f>groupDianaCeleiro!D5</f>
        <v>Senegal</v>
      </c>
      <c r="N10" s="45">
        <f>groupDianaCeleiro!E5</f>
        <v>1</v>
      </c>
      <c r="O10" s="45">
        <f>groupDianaCeleiro!F5</f>
        <v>2</v>
      </c>
      <c r="P10" s="45">
        <f>groupDianaCeleiro!G5</f>
        <v>-1</v>
      </c>
      <c r="Q10" s="45">
        <f>groupDianaCeleiro!H5</f>
        <v>1</v>
      </c>
      <c r="R10" s="45">
        <f>groupDianaCeleiro!I5</f>
        <v>0</v>
      </c>
      <c r="S10" s="22"/>
      <c r="T10" s="27" t="str">
        <f>groupDianaCeleiro!Y5</f>
        <v>Japan</v>
      </c>
      <c r="U10" s="45">
        <f>groupDianaCeleiro!Z5</f>
        <v>0</v>
      </c>
      <c r="V10" s="45">
        <f>groupDianaCeleiro!AA5</f>
        <v>0</v>
      </c>
      <c r="W10" s="45">
        <f>groupDianaCeleiro!AB5</f>
        <v>0</v>
      </c>
      <c r="X10" s="45">
        <f>groupDianaCeleiro!AC5</f>
        <v>0</v>
      </c>
      <c r="Y10" s="45">
        <f>groupDianaCeleiro!AD5</f>
        <v>0</v>
      </c>
      <c r="Z10" s="22"/>
    </row>
    <row r="11" spans="2:27" ht="20.149999999999999" customHeight="1" thickBot="1" x14ac:dyDescent="0.4">
      <c r="B11" s="59"/>
      <c r="C11" s="23">
        <v>0.66666666666666663</v>
      </c>
      <c r="D11" s="23" t="str">
        <f>dataMatch!E9</f>
        <v>C</v>
      </c>
      <c r="E11" s="24" t="str">
        <f>dataMatch!F9</f>
        <v>Mexico</v>
      </c>
      <c r="F11" s="31"/>
      <c r="G11" s="25" t="s">
        <v>103</v>
      </c>
      <c r="H11" s="31"/>
      <c r="I11" s="24" t="str">
        <f>dataMatch!G9</f>
        <v>Poland</v>
      </c>
      <c r="L11" s="22"/>
      <c r="M11" s="27" t="str">
        <f>groupDianaCeleiro!D6</f>
        <v>Netherlands</v>
      </c>
      <c r="N11" s="45">
        <f>groupDianaCeleiro!E6</f>
        <v>2</v>
      </c>
      <c r="O11" s="45">
        <f>groupDianaCeleiro!F6</f>
        <v>1</v>
      </c>
      <c r="P11" s="45">
        <f>groupDianaCeleiro!G6</f>
        <v>1</v>
      </c>
      <c r="Q11" s="45">
        <f>groupDianaCeleiro!H6</f>
        <v>1</v>
      </c>
      <c r="R11" s="45">
        <f>groupDianaCeleiro!I6</f>
        <v>3</v>
      </c>
      <c r="S11" s="22"/>
      <c r="T11" s="27" t="str">
        <f>groupDianaCeleiro!Y6</f>
        <v>Costa Rica</v>
      </c>
      <c r="U11" s="45">
        <f>groupDianaCeleiro!Z6</f>
        <v>0</v>
      </c>
      <c r="V11" s="45">
        <f>groupDianaCeleiro!AA6</f>
        <v>0</v>
      </c>
      <c r="W11" s="45">
        <f>groupDianaCeleiro!AB6</f>
        <v>0</v>
      </c>
      <c r="X11" s="45">
        <f>groupDianaCeleiro!AC6</f>
        <v>0</v>
      </c>
      <c r="Y11" s="45">
        <f>groupDianaCeleiro!AD6</f>
        <v>0</v>
      </c>
      <c r="Z11" s="22"/>
    </row>
    <row r="12" spans="2:27" ht="20.149999999999999" customHeight="1" thickBot="1" x14ac:dyDescent="0.4">
      <c r="B12" s="59"/>
      <c r="C12" s="23">
        <v>0.79166666666666663</v>
      </c>
      <c r="D12" s="23" t="str">
        <f>dataMatch!E10</f>
        <v>D</v>
      </c>
      <c r="E12" s="24" t="str">
        <f>dataMatch!F10</f>
        <v>France</v>
      </c>
      <c r="F12" s="31"/>
      <c r="G12" s="25" t="s">
        <v>103</v>
      </c>
      <c r="H12" s="31"/>
      <c r="I12" s="24" t="str">
        <f>dataMatch!G10</f>
        <v>Australia</v>
      </c>
      <c r="L12" s="22"/>
      <c r="M12" s="22"/>
      <c r="N12" s="22"/>
      <c r="O12" s="22"/>
      <c r="P12" s="22"/>
      <c r="Q12" s="22"/>
      <c r="R12" s="22"/>
      <c r="S12" s="22"/>
      <c r="T12" s="22"/>
      <c r="U12" s="22"/>
      <c r="V12" s="22"/>
      <c r="W12" s="22"/>
      <c r="X12" s="22"/>
      <c r="Y12" s="22"/>
      <c r="Z12" s="22"/>
    </row>
    <row r="13" spans="2:27" ht="20.149999999999999" customHeight="1" thickBot="1" x14ac:dyDescent="0.4">
      <c r="B13" s="58" t="s">
        <v>108</v>
      </c>
      <c r="C13" s="23">
        <v>0.41666666666666669</v>
      </c>
      <c r="D13" s="23" t="str">
        <f>dataMatch!E11</f>
        <v>F</v>
      </c>
      <c r="E13" s="24" t="str">
        <f>dataMatch!F11</f>
        <v>Morocco</v>
      </c>
      <c r="F13" s="31"/>
      <c r="G13" s="25" t="s">
        <v>103</v>
      </c>
      <c r="H13" s="31"/>
      <c r="I13" s="24" t="str">
        <f>dataMatch!G11</f>
        <v>Croatia</v>
      </c>
      <c r="L13" s="22"/>
      <c r="M13" s="61" t="s">
        <v>109</v>
      </c>
      <c r="N13" s="61"/>
      <c r="O13" s="61"/>
      <c r="P13" s="61"/>
      <c r="Q13" s="61"/>
      <c r="R13" s="61"/>
      <c r="S13" s="22"/>
      <c r="T13" s="61" t="s">
        <v>110</v>
      </c>
      <c r="U13" s="61"/>
      <c r="V13" s="61"/>
      <c r="W13" s="61"/>
      <c r="X13" s="61"/>
      <c r="Y13" s="61"/>
      <c r="Z13" s="22"/>
    </row>
    <row r="14" spans="2:27" ht="20.149999999999999" customHeight="1" thickTop="1" thickBot="1" x14ac:dyDescent="0.4">
      <c r="B14" s="58"/>
      <c r="C14" s="23">
        <v>0.54166666666666663</v>
      </c>
      <c r="D14" s="23" t="str">
        <f>dataMatch!E12</f>
        <v>E</v>
      </c>
      <c r="E14" s="24" t="str">
        <f>dataMatch!F12</f>
        <v>Germany</v>
      </c>
      <c r="F14" s="31"/>
      <c r="G14" s="25" t="s">
        <v>103</v>
      </c>
      <c r="H14" s="31"/>
      <c r="I14" s="24" t="str">
        <f>dataMatch!G12</f>
        <v>Japan</v>
      </c>
      <c r="L14" s="22"/>
      <c r="M14" s="26" t="s">
        <v>9</v>
      </c>
      <c r="N14" s="46" t="s">
        <v>10</v>
      </c>
      <c r="O14" s="46" t="s">
        <v>11</v>
      </c>
      <c r="P14" s="46" t="s">
        <v>12</v>
      </c>
      <c r="Q14" s="46" t="s">
        <v>13</v>
      </c>
      <c r="R14" s="46" t="s">
        <v>14</v>
      </c>
      <c r="S14" s="22"/>
      <c r="T14" s="26" t="s">
        <v>9</v>
      </c>
      <c r="U14" s="46" t="s">
        <v>10</v>
      </c>
      <c r="V14" s="46" t="s">
        <v>11</v>
      </c>
      <c r="W14" s="46" t="s">
        <v>12</v>
      </c>
      <c r="X14" s="46" t="s">
        <v>13</v>
      </c>
      <c r="Y14" s="46" t="s">
        <v>14</v>
      </c>
      <c r="Z14" s="22"/>
    </row>
    <row r="15" spans="2:27" ht="20.149999999999999" customHeight="1" thickBot="1" x14ac:dyDescent="0.4">
      <c r="B15" s="58"/>
      <c r="C15" s="23">
        <v>0.66666666666666663</v>
      </c>
      <c r="D15" s="23" t="str">
        <f>dataMatch!E13</f>
        <v>E</v>
      </c>
      <c r="E15" s="24" t="str">
        <f>dataMatch!F13</f>
        <v>Spain</v>
      </c>
      <c r="F15" s="31"/>
      <c r="G15" s="25" t="s">
        <v>103</v>
      </c>
      <c r="H15" s="31"/>
      <c r="I15" s="24" t="str">
        <f>dataMatch!G13</f>
        <v>Costa Rica</v>
      </c>
      <c r="L15" s="22"/>
      <c r="M15" s="27" t="str">
        <f>groupDianaCeleiro!D10</f>
        <v>England</v>
      </c>
      <c r="N15" s="45">
        <f>groupDianaCeleiro!E10</f>
        <v>3</v>
      </c>
      <c r="O15" s="45">
        <f>groupDianaCeleiro!F10</f>
        <v>0</v>
      </c>
      <c r="P15" s="45">
        <f>groupDianaCeleiro!G10</f>
        <v>3</v>
      </c>
      <c r="Q15" s="45">
        <f>groupDianaCeleiro!H10</f>
        <v>1</v>
      </c>
      <c r="R15" s="45">
        <f>groupDianaCeleiro!I10</f>
        <v>3</v>
      </c>
      <c r="S15" s="22"/>
      <c r="T15" s="27" t="str">
        <f>groupDianaCeleiro!Y10</f>
        <v>Belgium</v>
      </c>
      <c r="U15" s="45">
        <f>groupDianaCeleiro!Z10</f>
        <v>0</v>
      </c>
      <c r="V15" s="45">
        <f>groupDianaCeleiro!AA10</f>
        <v>0</v>
      </c>
      <c r="W15" s="45">
        <f>groupDianaCeleiro!AB10</f>
        <v>0</v>
      </c>
      <c r="X15" s="45">
        <f>groupDianaCeleiro!AC10</f>
        <v>0</v>
      </c>
      <c r="Y15" s="45">
        <f>groupDianaCeleiro!AD10</f>
        <v>0</v>
      </c>
      <c r="Z15" s="22"/>
    </row>
    <row r="16" spans="2:27" ht="20.149999999999999" customHeight="1" thickBot="1" x14ac:dyDescent="0.4">
      <c r="B16" s="58"/>
      <c r="C16" s="23">
        <v>0.79166666666666663</v>
      </c>
      <c r="D16" s="23" t="str">
        <f>dataMatch!E14</f>
        <v>F</v>
      </c>
      <c r="E16" s="24" t="str">
        <f>dataMatch!F14</f>
        <v>Belgium</v>
      </c>
      <c r="F16" s="31"/>
      <c r="G16" s="25" t="s">
        <v>103</v>
      </c>
      <c r="H16" s="31"/>
      <c r="I16" s="24" t="str">
        <f>dataMatch!G14</f>
        <v>Canada</v>
      </c>
      <c r="L16" s="22"/>
      <c r="M16" s="27" t="str">
        <f>groupDianaCeleiro!D11</f>
        <v>IR Iran</v>
      </c>
      <c r="N16" s="45">
        <f>groupDianaCeleiro!E11</f>
        <v>0</v>
      </c>
      <c r="O16" s="45">
        <f>groupDianaCeleiro!F11</f>
        <v>3</v>
      </c>
      <c r="P16" s="45">
        <f>groupDianaCeleiro!G11</f>
        <v>-3</v>
      </c>
      <c r="Q16" s="45">
        <f>groupDianaCeleiro!H11</f>
        <v>1</v>
      </c>
      <c r="R16" s="45">
        <f>groupDianaCeleiro!I11</f>
        <v>0</v>
      </c>
      <c r="S16" s="22"/>
      <c r="T16" s="27" t="str">
        <f>groupDianaCeleiro!Y11</f>
        <v>Canada</v>
      </c>
      <c r="U16" s="45">
        <f>groupDianaCeleiro!Z11</f>
        <v>0</v>
      </c>
      <c r="V16" s="45">
        <f>groupDianaCeleiro!AA11</f>
        <v>0</v>
      </c>
      <c r="W16" s="45">
        <f>groupDianaCeleiro!AB11</f>
        <v>0</v>
      </c>
      <c r="X16" s="45">
        <f>groupDianaCeleiro!AC11</f>
        <v>0</v>
      </c>
      <c r="Y16" s="45">
        <f>groupDianaCeleiro!AD11</f>
        <v>0</v>
      </c>
      <c r="Z16" s="22"/>
    </row>
    <row r="17" spans="2:26" ht="20.149999999999999" customHeight="1" thickBot="1" x14ac:dyDescent="0.4">
      <c r="B17" s="59" t="s">
        <v>111</v>
      </c>
      <c r="C17" s="23">
        <v>0.41666666666666669</v>
      </c>
      <c r="D17" s="23" t="str">
        <f>dataMatch!E15</f>
        <v>G</v>
      </c>
      <c r="E17" s="24" t="str">
        <f>dataMatch!F15</f>
        <v>Switzerland</v>
      </c>
      <c r="F17" s="31"/>
      <c r="G17" s="25" t="s">
        <v>103</v>
      </c>
      <c r="H17" s="31"/>
      <c r="I17" s="24" t="str">
        <f>dataMatch!G15</f>
        <v>Cameroon</v>
      </c>
      <c r="L17" s="22"/>
      <c r="M17" s="27" t="str">
        <f>groupDianaCeleiro!D12</f>
        <v>USA</v>
      </c>
      <c r="N17" s="45">
        <f>groupDianaCeleiro!E12</f>
        <v>0</v>
      </c>
      <c r="O17" s="45">
        <f>groupDianaCeleiro!F12</f>
        <v>3</v>
      </c>
      <c r="P17" s="45">
        <f>groupDianaCeleiro!G12</f>
        <v>-3</v>
      </c>
      <c r="Q17" s="45">
        <f>groupDianaCeleiro!H12</f>
        <v>1</v>
      </c>
      <c r="R17" s="45">
        <f>groupDianaCeleiro!I12</f>
        <v>0</v>
      </c>
      <c r="S17" s="22"/>
      <c r="T17" s="27" t="str">
        <f>groupDianaCeleiro!Y12</f>
        <v>Morocco</v>
      </c>
      <c r="U17" s="45">
        <f>groupDianaCeleiro!Z12</f>
        <v>0</v>
      </c>
      <c r="V17" s="45">
        <f>groupDianaCeleiro!AA12</f>
        <v>0</v>
      </c>
      <c r="W17" s="45">
        <f>groupDianaCeleiro!AB12</f>
        <v>0</v>
      </c>
      <c r="X17" s="45">
        <f>groupDianaCeleiro!AC12</f>
        <v>0</v>
      </c>
      <c r="Y17" s="45">
        <f>groupDianaCeleiro!AD12</f>
        <v>0</v>
      </c>
      <c r="Z17" s="22"/>
    </row>
    <row r="18" spans="2:26" ht="20.149999999999999" customHeight="1" thickBot="1" x14ac:dyDescent="0.4">
      <c r="B18" s="59"/>
      <c r="C18" s="23">
        <v>0.54166666666666663</v>
      </c>
      <c r="D18" s="23" t="str">
        <f>dataMatch!E16</f>
        <v>H</v>
      </c>
      <c r="E18" s="24" t="str">
        <f>dataMatch!F16</f>
        <v>Uruguay</v>
      </c>
      <c r="F18" s="31"/>
      <c r="G18" s="25" t="s">
        <v>103</v>
      </c>
      <c r="H18" s="31"/>
      <c r="I18" s="24" t="str">
        <f>dataMatch!G16</f>
        <v>Korea Republic</v>
      </c>
      <c r="L18" s="22"/>
      <c r="M18" s="27" t="str">
        <f>groupDianaCeleiro!D13</f>
        <v>Wales</v>
      </c>
      <c r="N18" s="45">
        <f>groupDianaCeleiro!E13</f>
        <v>3</v>
      </c>
      <c r="O18" s="45">
        <f>groupDianaCeleiro!F13</f>
        <v>0</v>
      </c>
      <c r="P18" s="45">
        <f>groupDianaCeleiro!G13</f>
        <v>3</v>
      </c>
      <c r="Q18" s="45">
        <f>groupDianaCeleiro!H13</f>
        <v>1</v>
      </c>
      <c r="R18" s="45">
        <f>groupDianaCeleiro!I13</f>
        <v>3</v>
      </c>
      <c r="S18" s="22"/>
      <c r="T18" s="27" t="str">
        <f>groupDianaCeleiro!Y13</f>
        <v>Croatia</v>
      </c>
      <c r="U18" s="45">
        <f>groupDianaCeleiro!Z13</f>
        <v>0</v>
      </c>
      <c r="V18" s="45">
        <f>groupDianaCeleiro!AA13</f>
        <v>0</v>
      </c>
      <c r="W18" s="45">
        <f>groupDianaCeleiro!AB13</f>
        <v>0</v>
      </c>
      <c r="X18" s="45">
        <f>groupDianaCeleiro!AC13</f>
        <v>0</v>
      </c>
      <c r="Y18" s="45">
        <f>groupDianaCeleiro!AD13</f>
        <v>0</v>
      </c>
      <c r="Z18" s="22"/>
    </row>
    <row r="19" spans="2:26" ht="20.149999999999999" customHeight="1" thickBot="1" x14ac:dyDescent="0.4">
      <c r="B19" s="59"/>
      <c r="C19" s="23">
        <v>0.66666666666666663</v>
      </c>
      <c r="D19" s="23" t="str">
        <f>dataMatch!E17</f>
        <v>H</v>
      </c>
      <c r="E19" s="24" t="str">
        <f>dataMatch!F17</f>
        <v>Portugal</v>
      </c>
      <c r="F19" s="31"/>
      <c r="G19" s="25" t="s">
        <v>103</v>
      </c>
      <c r="H19" s="31"/>
      <c r="I19" s="24" t="str">
        <f>dataMatch!G17</f>
        <v>Ghana</v>
      </c>
      <c r="L19" s="22"/>
      <c r="M19" s="22"/>
      <c r="N19" s="22"/>
      <c r="O19" s="22"/>
      <c r="P19" s="22"/>
      <c r="Q19" s="22"/>
      <c r="R19" s="22"/>
      <c r="S19" s="22"/>
      <c r="T19" s="22"/>
      <c r="U19" s="22"/>
      <c r="V19" s="22"/>
      <c r="W19" s="22"/>
      <c r="X19" s="22"/>
      <c r="Y19" s="22"/>
      <c r="Z19" s="22"/>
    </row>
    <row r="20" spans="2:26" ht="20.149999999999999" customHeight="1" thickBot="1" x14ac:dyDescent="0.4">
      <c r="B20" s="59"/>
      <c r="C20" s="23">
        <v>0.79166666666666663</v>
      </c>
      <c r="D20" s="23" t="str">
        <f>dataMatch!E18</f>
        <v>G</v>
      </c>
      <c r="E20" s="24" t="str">
        <f>dataMatch!F18</f>
        <v>Brazil</v>
      </c>
      <c r="F20" s="31"/>
      <c r="G20" s="25" t="s">
        <v>103</v>
      </c>
      <c r="H20" s="31"/>
      <c r="I20" s="24" t="str">
        <f>dataMatch!G18</f>
        <v>Serbia</v>
      </c>
      <c r="L20" s="22"/>
      <c r="M20" s="61" t="s">
        <v>112</v>
      </c>
      <c r="N20" s="61"/>
      <c r="O20" s="61"/>
      <c r="P20" s="61"/>
      <c r="Q20" s="61"/>
      <c r="R20" s="61"/>
      <c r="S20" s="22"/>
      <c r="T20" s="61" t="s">
        <v>113</v>
      </c>
      <c r="U20" s="61"/>
      <c r="V20" s="61"/>
      <c r="W20" s="61"/>
      <c r="X20" s="61"/>
      <c r="Y20" s="61"/>
      <c r="Z20" s="22"/>
    </row>
    <row r="21" spans="2:26" ht="20.149999999999999" customHeight="1" thickTop="1" thickBot="1" x14ac:dyDescent="0.4">
      <c r="B21" s="58" t="s">
        <v>114</v>
      </c>
      <c r="C21" s="23">
        <v>0.41666666666666669</v>
      </c>
      <c r="D21" s="23" t="str">
        <f>dataMatch!E19</f>
        <v>B</v>
      </c>
      <c r="E21" s="24" t="str">
        <f>dataMatch!F19</f>
        <v>Wales</v>
      </c>
      <c r="F21" s="31"/>
      <c r="G21" s="25" t="s">
        <v>103</v>
      </c>
      <c r="H21" s="31"/>
      <c r="I21" s="24" t="str">
        <f>dataMatch!G19</f>
        <v>IR Iran</v>
      </c>
      <c r="L21" s="22"/>
      <c r="M21" s="26" t="s">
        <v>9</v>
      </c>
      <c r="N21" s="46" t="s">
        <v>10</v>
      </c>
      <c r="O21" s="46" t="s">
        <v>11</v>
      </c>
      <c r="P21" s="46" t="s">
        <v>12</v>
      </c>
      <c r="Q21" s="46" t="s">
        <v>13</v>
      </c>
      <c r="R21" s="46" t="s">
        <v>14</v>
      </c>
      <c r="S21" s="22"/>
      <c r="T21" s="26" t="s">
        <v>9</v>
      </c>
      <c r="U21" s="46" t="s">
        <v>10</v>
      </c>
      <c r="V21" s="46" t="s">
        <v>11</v>
      </c>
      <c r="W21" s="46" t="s">
        <v>12</v>
      </c>
      <c r="X21" s="46" t="s">
        <v>13</v>
      </c>
      <c r="Y21" s="46" t="s">
        <v>14</v>
      </c>
      <c r="Z21" s="22"/>
    </row>
    <row r="22" spans="2:26" ht="20.149999999999999" customHeight="1" thickBot="1" x14ac:dyDescent="0.4">
      <c r="B22" s="58"/>
      <c r="C22" s="23">
        <v>0.54166666666666663</v>
      </c>
      <c r="D22" s="23" t="str">
        <f>dataMatch!E20</f>
        <v>A</v>
      </c>
      <c r="E22" s="24" t="str">
        <f>dataMatch!F20</f>
        <v>Qatar</v>
      </c>
      <c r="F22" s="31"/>
      <c r="G22" s="25" t="s">
        <v>103</v>
      </c>
      <c r="H22" s="31"/>
      <c r="I22" s="24" t="str">
        <f>dataMatch!G20</f>
        <v>Senegal</v>
      </c>
      <c r="L22" s="22"/>
      <c r="M22" s="27" t="str">
        <f>groupDianaCeleiro!D17</f>
        <v>Argentina</v>
      </c>
      <c r="N22" s="45">
        <f>groupDianaCeleiro!E17</f>
        <v>0</v>
      </c>
      <c r="O22" s="45">
        <f>groupDianaCeleiro!F17</f>
        <v>0</v>
      </c>
      <c r="P22" s="45">
        <f>groupDianaCeleiro!G17</f>
        <v>0</v>
      </c>
      <c r="Q22" s="45">
        <f>groupDianaCeleiro!H17</f>
        <v>0</v>
      </c>
      <c r="R22" s="45">
        <f>groupDianaCeleiro!I17</f>
        <v>0</v>
      </c>
      <c r="S22" s="22"/>
      <c r="T22" s="27" t="str">
        <f>groupDianaCeleiro!Y17</f>
        <v>Brazil</v>
      </c>
      <c r="U22" s="45">
        <f>groupDianaCeleiro!Z17</f>
        <v>0</v>
      </c>
      <c r="V22" s="45">
        <f>groupDianaCeleiro!AA17</f>
        <v>0</v>
      </c>
      <c r="W22" s="45">
        <f>groupDianaCeleiro!AB17</f>
        <v>0</v>
      </c>
      <c r="X22" s="45">
        <f>groupDianaCeleiro!AC17</f>
        <v>0</v>
      </c>
      <c r="Y22" s="45">
        <f>groupDianaCeleiro!AD17</f>
        <v>0</v>
      </c>
      <c r="Z22" s="22"/>
    </row>
    <row r="23" spans="2:26" ht="20.149999999999999" customHeight="1" thickBot="1" x14ac:dyDescent="0.4">
      <c r="B23" s="58"/>
      <c r="C23" s="23">
        <v>0.66666666666666663</v>
      </c>
      <c r="D23" s="23" t="str">
        <f>dataMatch!E21</f>
        <v>A</v>
      </c>
      <c r="E23" s="24" t="str">
        <f>dataMatch!F21</f>
        <v>Netherlands</v>
      </c>
      <c r="F23" s="31"/>
      <c r="G23" s="25" t="s">
        <v>103</v>
      </c>
      <c r="H23" s="31"/>
      <c r="I23" s="24" t="str">
        <f>dataMatch!G21</f>
        <v>Ecuador</v>
      </c>
      <c r="L23" s="22"/>
      <c r="M23" s="27" t="str">
        <f>groupDianaCeleiro!D18</f>
        <v>Saudi Arabia</v>
      </c>
      <c r="N23" s="45">
        <f>groupDianaCeleiro!E18</f>
        <v>0</v>
      </c>
      <c r="O23" s="45">
        <f>groupDianaCeleiro!F18</f>
        <v>0</v>
      </c>
      <c r="P23" s="45">
        <f>groupDianaCeleiro!G18</f>
        <v>0</v>
      </c>
      <c r="Q23" s="45">
        <f>groupDianaCeleiro!H18</f>
        <v>0</v>
      </c>
      <c r="R23" s="45">
        <f>groupDianaCeleiro!I18</f>
        <v>0</v>
      </c>
      <c r="S23" s="22"/>
      <c r="T23" s="27" t="str">
        <f>groupDianaCeleiro!Y18</f>
        <v>Serbia</v>
      </c>
      <c r="U23" s="45">
        <f>groupDianaCeleiro!Z18</f>
        <v>0</v>
      </c>
      <c r="V23" s="45">
        <f>groupDianaCeleiro!AA18</f>
        <v>0</v>
      </c>
      <c r="W23" s="45">
        <f>groupDianaCeleiro!AB18</f>
        <v>0</v>
      </c>
      <c r="X23" s="45">
        <f>groupDianaCeleiro!AC18</f>
        <v>0</v>
      </c>
      <c r="Y23" s="45">
        <f>groupDianaCeleiro!AD18</f>
        <v>0</v>
      </c>
      <c r="Z23" s="22"/>
    </row>
    <row r="24" spans="2:26" ht="20.149999999999999" customHeight="1" thickBot="1" x14ac:dyDescent="0.4">
      <c r="B24" s="58"/>
      <c r="C24" s="23">
        <v>0.79166666666666663</v>
      </c>
      <c r="D24" s="23" t="str">
        <f>dataMatch!E22</f>
        <v>B</v>
      </c>
      <c r="E24" s="24" t="str">
        <f>dataMatch!F22</f>
        <v>England</v>
      </c>
      <c r="F24" s="31"/>
      <c r="G24" s="25" t="s">
        <v>103</v>
      </c>
      <c r="H24" s="31"/>
      <c r="I24" s="24" t="str">
        <f>dataMatch!G22</f>
        <v>USA</v>
      </c>
      <c r="L24" s="22"/>
      <c r="M24" s="27" t="str">
        <f>groupDianaCeleiro!D19</f>
        <v>Mexico</v>
      </c>
      <c r="N24" s="45">
        <f>groupDianaCeleiro!E19</f>
        <v>0</v>
      </c>
      <c r="O24" s="45">
        <f>groupDianaCeleiro!F19</f>
        <v>0</v>
      </c>
      <c r="P24" s="45">
        <f>groupDianaCeleiro!G19</f>
        <v>0</v>
      </c>
      <c r="Q24" s="45">
        <f>groupDianaCeleiro!H19</f>
        <v>0</v>
      </c>
      <c r="R24" s="45">
        <f>groupDianaCeleiro!I19</f>
        <v>0</v>
      </c>
      <c r="S24" s="22"/>
      <c r="T24" s="27" t="str">
        <f>groupDianaCeleiro!Y19</f>
        <v>Switzerland</v>
      </c>
      <c r="U24" s="45">
        <f>groupDianaCeleiro!Z19</f>
        <v>0</v>
      </c>
      <c r="V24" s="45">
        <f>groupDianaCeleiro!AA19</f>
        <v>0</v>
      </c>
      <c r="W24" s="45">
        <f>groupDianaCeleiro!AB19</f>
        <v>0</v>
      </c>
      <c r="X24" s="45">
        <f>groupDianaCeleiro!AC19</f>
        <v>0</v>
      </c>
      <c r="Y24" s="45">
        <f>groupDianaCeleiro!AD19</f>
        <v>0</v>
      </c>
      <c r="Z24" s="22"/>
    </row>
    <row r="25" spans="2:26" ht="20.149999999999999" customHeight="1" thickBot="1" x14ac:dyDescent="0.4">
      <c r="B25" s="59" t="s">
        <v>115</v>
      </c>
      <c r="C25" s="23">
        <v>0.41666666666666669</v>
      </c>
      <c r="D25" s="23" t="str">
        <f>dataMatch!E23</f>
        <v>D</v>
      </c>
      <c r="E25" s="24" t="str">
        <f>dataMatch!F23</f>
        <v>Tunisia</v>
      </c>
      <c r="F25" s="31"/>
      <c r="G25" s="25" t="s">
        <v>103</v>
      </c>
      <c r="H25" s="31"/>
      <c r="I25" s="24" t="str">
        <f>dataMatch!G23</f>
        <v>Australia</v>
      </c>
      <c r="L25" s="22"/>
      <c r="M25" s="27" t="str">
        <f>groupDianaCeleiro!D20</f>
        <v>Poland</v>
      </c>
      <c r="N25" s="45">
        <f>groupDianaCeleiro!E20</f>
        <v>0</v>
      </c>
      <c r="O25" s="45">
        <f>groupDianaCeleiro!F20</f>
        <v>0</v>
      </c>
      <c r="P25" s="45">
        <f>groupDianaCeleiro!G20</f>
        <v>0</v>
      </c>
      <c r="Q25" s="45">
        <f>groupDianaCeleiro!H20</f>
        <v>0</v>
      </c>
      <c r="R25" s="45">
        <f>groupDianaCeleiro!I20</f>
        <v>0</v>
      </c>
      <c r="S25" s="22"/>
      <c r="T25" s="27" t="str">
        <f>groupDianaCeleiro!Y20</f>
        <v>Cameroon</v>
      </c>
      <c r="U25" s="45">
        <f>groupDianaCeleiro!Z20</f>
        <v>0</v>
      </c>
      <c r="V25" s="45">
        <f>groupDianaCeleiro!AA20</f>
        <v>0</v>
      </c>
      <c r="W25" s="45">
        <f>groupDianaCeleiro!AB20</f>
        <v>0</v>
      </c>
      <c r="X25" s="45">
        <f>groupDianaCeleiro!AC20</f>
        <v>0</v>
      </c>
      <c r="Y25" s="45">
        <f>groupDianaCeleiro!AD20</f>
        <v>0</v>
      </c>
      <c r="Z25" s="22"/>
    </row>
    <row r="26" spans="2:26" ht="20.149999999999999" customHeight="1" thickBot="1" x14ac:dyDescent="0.4">
      <c r="B26" s="59"/>
      <c r="C26" s="23">
        <v>0.54166666666666663</v>
      </c>
      <c r="D26" s="23" t="str">
        <f>dataMatch!E24</f>
        <v>C</v>
      </c>
      <c r="E26" s="24" t="str">
        <f>dataMatch!F24</f>
        <v>Poland</v>
      </c>
      <c r="F26" s="31"/>
      <c r="G26" s="25" t="s">
        <v>103</v>
      </c>
      <c r="H26" s="31"/>
      <c r="I26" s="24" t="str">
        <f>dataMatch!G24</f>
        <v>Saudi Arabia</v>
      </c>
      <c r="L26" s="22"/>
      <c r="M26" s="22"/>
      <c r="N26" s="22"/>
      <c r="O26" s="22"/>
      <c r="P26" s="22"/>
      <c r="Q26" s="22"/>
      <c r="R26" s="22"/>
      <c r="S26" s="22"/>
      <c r="T26" s="22"/>
      <c r="U26" s="22"/>
      <c r="V26" s="22"/>
      <c r="W26" s="22"/>
      <c r="X26" s="22"/>
      <c r="Y26" s="22"/>
      <c r="Z26" s="22"/>
    </row>
    <row r="27" spans="2:26" ht="20.149999999999999" customHeight="1" thickBot="1" x14ac:dyDescent="0.4">
      <c r="B27" s="59"/>
      <c r="C27" s="23">
        <v>0.66666666666666663</v>
      </c>
      <c r="D27" s="23" t="str">
        <f>dataMatch!E25</f>
        <v>D</v>
      </c>
      <c r="E27" s="24" t="str">
        <f>dataMatch!F25</f>
        <v>France</v>
      </c>
      <c r="F27" s="31"/>
      <c r="G27" s="25" t="s">
        <v>103</v>
      </c>
      <c r="H27" s="31"/>
      <c r="I27" s="24" t="str">
        <f>dataMatch!G25</f>
        <v>Denmark</v>
      </c>
      <c r="L27" s="22"/>
      <c r="M27" s="61" t="s">
        <v>116</v>
      </c>
      <c r="N27" s="61"/>
      <c r="O27" s="61"/>
      <c r="P27" s="61"/>
      <c r="Q27" s="61"/>
      <c r="R27" s="61"/>
      <c r="S27" s="22"/>
      <c r="T27" s="61" t="s">
        <v>117</v>
      </c>
      <c r="U27" s="61"/>
      <c r="V27" s="61"/>
      <c r="W27" s="61"/>
      <c r="X27" s="61"/>
      <c r="Y27" s="61"/>
      <c r="Z27" s="22"/>
    </row>
    <row r="28" spans="2:26" ht="20.149999999999999" customHeight="1" thickTop="1" thickBot="1" x14ac:dyDescent="0.4">
      <c r="B28" s="59"/>
      <c r="C28" s="23">
        <v>0.79166666666666663</v>
      </c>
      <c r="D28" s="23" t="str">
        <f>dataMatch!E26</f>
        <v>C</v>
      </c>
      <c r="E28" s="24" t="str">
        <f>dataMatch!F26</f>
        <v>Argentina</v>
      </c>
      <c r="F28" s="31"/>
      <c r="G28" s="25" t="s">
        <v>103</v>
      </c>
      <c r="H28" s="31"/>
      <c r="I28" s="24" t="str">
        <f>dataMatch!G26</f>
        <v>Mexico</v>
      </c>
      <c r="L28" s="22"/>
      <c r="M28" s="26" t="s">
        <v>9</v>
      </c>
      <c r="N28" s="46" t="s">
        <v>10</v>
      </c>
      <c r="O28" s="46" t="s">
        <v>11</v>
      </c>
      <c r="P28" s="46" t="s">
        <v>12</v>
      </c>
      <c r="Q28" s="46" t="s">
        <v>13</v>
      </c>
      <c r="R28" s="46" t="s">
        <v>14</v>
      </c>
      <c r="S28" s="22"/>
      <c r="T28" s="26" t="s">
        <v>9</v>
      </c>
      <c r="U28" s="46" t="s">
        <v>10</v>
      </c>
      <c r="V28" s="46" t="s">
        <v>11</v>
      </c>
      <c r="W28" s="46" t="s">
        <v>12</v>
      </c>
      <c r="X28" s="46" t="s">
        <v>13</v>
      </c>
      <c r="Y28" s="46" t="s">
        <v>14</v>
      </c>
      <c r="Z28" s="22"/>
    </row>
    <row r="29" spans="2:26" ht="20.149999999999999" customHeight="1" thickBot="1" x14ac:dyDescent="0.4">
      <c r="B29" s="58" t="s">
        <v>118</v>
      </c>
      <c r="C29" s="23">
        <v>0.41666666666666669</v>
      </c>
      <c r="D29" s="23" t="str">
        <f>dataMatch!E27</f>
        <v>E</v>
      </c>
      <c r="E29" s="24" t="str">
        <f>dataMatch!F27</f>
        <v>Japan</v>
      </c>
      <c r="F29" s="31"/>
      <c r="G29" s="25" t="s">
        <v>103</v>
      </c>
      <c r="H29" s="31"/>
      <c r="I29" s="24" t="str">
        <f>dataMatch!G27</f>
        <v>Costa Rica</v>
      </c>
      <c r="L29" s="22"/>
      <c r="M29" s="27" t="str">
        <f>groupDianaCeleiro!D24</f>
        <v>France</v>
      </c>
      <c r="N29" s="45">
        <f>groupDianaCeleiro!E24</f>
        <v>0</v>
      </c>
      <c r="O29" s="45">
        <f>groupDianaCeleiro!F24</f>
        <v>0</v>
      </c>
      <c r="P29" s="45">
        <f>groupDianaCeleiro!G24</f>
        <v>0</v>
      </c>
      <c r="Q29" s="45">
        <f>groupDianaCeleiro!H24</f>
        <v>0</v>
      </c>
      <c r="R29" s="45">
        <f>groupDianaCeleiro!I24</f>
        <v>0</v>
      </c>
      <c r="S29" s="22"/>
      <c r="T29" s="27" t="str">
        <f>groupDianaCeleiro!Y24</f>
        <v>Portugal</v>
      </c>
      <c r="U29" s="45">
        <f>groupDianaCeleiro!Z24</f>
        <v>0</v>
      </c>
      <c r="V29" s="45">
        <f>groupDianaCeleiro!AA24</f>
        <v>0</v>
      </c>
      <c r="W29" s="45">
        <f>groupDianaCeleiro!AB24</f>
        <v>0</v>
      </c>
      <c r="X29" s="45">
        <f>groupDianaCeleiro!AC24</f>
        <v>0</v>
      </c>
      <c r="Y29" s="45">
        <f>groupDianaCeleiro!AD24</f>
        <v>0</v>
      </c>
      <c r="Z29" s="22"/>
    </row>
    <row r="30" spans="2:26" ht="20.149999999999999" customHeight="1" thickBot="1" x14ac:dyDescent="0.4">
      <c r="B30" s="58"/>
      <c r="C30" s="23">
        <v>0.54166666666666663</v>
      </c>
      <c r="D30" s="23" t="str">
        <f>dataMatch!E28</f>
        <v>F</v>
      </c>
      <c r="E30" s="24" t="str">
        <f>dataMatch!F28</f>
        <v>Belgium</v>
      </c>
      <c r="F30" s="31"/>
      <c r="G30" s="25" t="s">
        <v>103</v>
      </c>
      <c r="H30" s="31"/>
      <c r="I30" s="24" t="str">
        <f>dataMatch!G28</f>
        <v>Morocco</v>
      </c>
      <c r="L30" s="22"/>
      <c r="M30" s="27" t="str">
        <f>groupDianaCeleiro!D25</f>
        <v>Denmark</v>
      </c>
      <c r="N30" s="45">
        <f>groupDianaCeleiro!E25</f>
        <v>0</v>
      </c>
      <c r="O30" s="45">
        <f>groupDianaCeleiro!F25</f>
        <v>0</v>
      </c>
      <c r="P30" s="45">
        <f>groupDianaCeleiro!G25</f>
        <v>0</v>
      </c>
      <c r="Q30" s="45">
        <f>groupDianaCeleiro!H25</f>
        <v>0</v>
      </c>
      <c r="R30" s="45">
        <f>groupDianaCeleiro!I25</f>
        <v>0</v>
      </c>
      <c r="S30" s="22"/>
      <c r="T30" s="27" t="str">
        <f>groupDianaCeleiro!Y25</f>
        <v>Ghana</v>
      </c>
      <c r="U30" s="45">
        <f>groupDianaCeleiro!Z25</f>
        <v>0</v>
      </c>
      <c r="V30" s="45">
        <f>groupDianaCeleiro!AA25</f>
        <v>0</v>
      </c>
      <c r="W30" s="45">
        <f>groupDianaCeleiro!AB25</f>
        <v>0</v>
      </c>
      <c r="X30" s="45">
        <f>groupDianaCeleiro!AC25</f>
        <v>0</v>
      </c>
      <c r="Y30" s="45">
        <f>groupDianaCeleiro!AD25</f>
        <v>0</v>
      </c>
      <c r="Z30" s="22"/>
    </row>
    <row r="31" spans="2:26" ht="20.149999999999999" customHeight="1" thickBot="1" x14ac:dyDescent="0.4">
      <c r="B31" s="58"/>
      <c r="C31" s="23">
        <v>0.66666666666666663</v>
      </c>
      <c r="D31" s="23" t="str">
        <f>dataMatch!E29</f>
        <v>F</v>
      </c>
      <c r="E31" s="24" t="str">
        <f>dataMatch!F29</f>
        <v>Croatia</v>
      </c>
      <c r="F31" s="31"/>
      <c r="G31" s="25" t="s">
        <v>103</v>
      </c>
      <c r="H31" s="31"/>
      <c r="I31" s="24" t="str">
        <f>dataMatch!G29</f>
        <v>Canada</v>
      </c>
      <c r="L31" s="22"/>
      <c r="M31" s="27" t="str">
        <f>groupDianaCeleiro!D26</f>
        <v>Tunisia</v>
      </c>
      <c r="N31" s="45">
        <f>groupDianaCeleiro!E26</f>
        <v>0</v>
      </c>
      <c r="O31" s="45">
        <f>groupDianaCeleiro!F26</f>
        <v>0</v>
      </c>
      <c r="P31" s="45">
        <f>groupDianaCeleiro!G26</f>
        <v>0</v>
      </c>
      <c r="Q31" s="45">
        <f>groupDianaCeleiro!H26</f>
        <v>0</v>
      </c>
      <c r="R31" s="45">
        <f>groupDianaCeleiro!I26</f>
        <v>0</v>
      </c>
      <c r="S31" s="22"/>
      <c r="T31" s="27" t="str">
        <f>groupDianaCeleiro!Y26</f>
        <v>Uruguay</v>
      </c>
      <c r="U31" s="45">
        <f>groupDianaCeleiro!Z26</f>
        <v>0</v>
      </c>
      <c r="V31" s="45">
        <f>groupDianaCeleiro!AA26</f>
        <v>0</v>
      </c>
      <c r="W31" s="45">
        <f>groupDianaCeleiro!AB26</f>
        <v>0</v>
      </c>
      <c r="X31" s="45">
        <f>groupDianaCeleiro!AC26</f>
        <v>0</v>
      </c>
      <c r="Y31" s="45">
        <f>groupDianaCeleiro!AD26</f>
        <v>0</v>
      </c>
      <c r="Z31" s="22"/>
    </row>
    <row r="32" spans="2:26" ht="20.149999999999999" customHeight="1" thickBot="1" x14ac:dyDescent="0.4">
      <c r="B32" s="58"/>
      <c r="C32" s="23">
        <v>0.79166666666666663</v>
      </c>
      <c r="D32" s="23" t="str">
        <f>dataMatch!E30</f>
        <v>E</v>
      </c>
      <c r="E32" s="24" t="str">
        <f>dataMatch!F30</f>
        <v>Spain</v>
      </c>
      <c r="F32" s="31"/>
      <c r="G32" s="25" t="s">
        <v>103</v>
      </c>
      <c r="H32" s="31"/>
      <c r="I32" s="24" t="str">
        <f>dataMatch!G30</f>
        <v>Germany</v>
      </c>
      <c r="L32" s="22"/>
      <c r="M32" s="27" t="str">
        <f>groupDianaCeleiro!D27</f>
        <v>Australia</v>
      </c>
      <c r="N32" s="45">
        <f>groupDianaCeleiro!E27</f>
        <v>0</v>
      </c>
      <c r="O32" s="45">
        <f>groupDianaCeleiro!F27</f>
        <v>0</v>
      </c>
      <c r="P32" s="45">
        <f>groupDianaCeleiro!G27</f>
        <v>0</v>
      </c>
      <c r="Q32" s="45">
        <f>groupDianaCeleiro!H27</f>
        <v>0</v>
      </c>
      <c r="R32" s="45">
        <f>groupDianaCeleiro!I27</f>
        <v>0</v>
      </c>
      <c r="S32" s="22"/>
      <c r="T32" s="27" t="str">
        <f>groupDianaCeleiro!Y27</f>
        <v>Korea Republic</v>
      </c>
      <c r="U32" s="45">
        <f>groupDianaCeleiro!Z27</f>
        <v>0</v>
      </c>
      <c r="V32" s="45">
        <f>groupDianaCeleiro!AA27</f>
        <v>0</v>
      </c>
      <c r="W32" s="45">
        <f>groupDianaCeleiro!AB27</f>
        <v>0</v>
      </c>
      <c r="X32" s="45">
        <f>groupDianaCeleiro!AC27</f>
        <v>0</v>
      </c>
      <c r="Y32" s="45">
        <f>groupDianaCeleiro!AD27</f>
        <v>0</v>
      </c>
      <c r="Z32" s="22"/>
    </row>
    <row r="33" spans="2:26" ht="20.149999999999999" customHeight="1" thickBot="1" x14ac:dyDescent="0.4">
      <c r="B33" s="59" t="s">
        <v>119</v>
      </c>
      <c r="C33" s="23">
        <v>0.41666666666666669</v>
      </c>
      <c r="D33" s="23" t="str">
        <f>dataMatch!E31</f>
        <v>G</v>
      </c>
      <c r="E33" s="24" t="str">
        <f>dataMatch!F31</f>
        <v>Cameroon</v>
      </c>
      <c r="F33" s="31"/>
      <c r="G33" s="25" t="s">
        <v>103</v>
      </c>
      <c r="H33" s="31"/>
      <c r="I33" s="24" t="str">
        <f>dataMatch!G31</f>
        <v>Serbia</v>
      </c>
      <c r="L33" s="22"/>
      <c r="M33" s="22"/>
      <c r="N33" s="22"/>
      <c r="O33" s="22"/>
      <c r="P33" s="22"/>
      <c r="Q33" s="22"/>
      <c r="R33" s="22"/>
      <c r="S33" s="22"/>
      <c r="T33" s="22"/>
      <c r="U33" s="22"/>
      <c r="V33" s="22"/>
      <c r="W33" s="22"/>
      <c r="X33" s="22"/>
      <c r="Y33" s="22"/>
      <c r="Z33" s="22"/>
    </row>
    <row r="34" spans="2:26" ht="20.149999999999999" customHeight="1" thickBot="1" x14ac:dyDescent="0.4">
      <c r="B34" s="59"/>
      <c r="C34" s="23">
        <v>0.54166666666666663</v>
      </c>
      <c r="D34" s="23" t="str">
        <f>dataMatch!E32</f>
        <v>H</v>
      </c>
      <c r="E34" s="24" t="str">
        <f>dataMatch!F32</f>
        <v>Korea Republic</v>
      </c>
      <c r="F34" s="31"/>
      <c r="G34" s="25" t="s">
        <v>103</v>
      </c>
      <c r="H34" s="31"/>
      <c r="I34" s="24" t="str">
        <f>dataMatch!G32</f>
        <v>Ghana</v>
      </c>
    </row>
    <row r="35" spans="2:26" ht="20.149999999999999" customHeight="1" thickBot="1" x14ac:dyDescent="0.4">
      <c r="B35" s="59"/>
      <c r="C35" s="23">
        <v>0.66666666666666663</v>
      </c>
      <c r="D35" s="23" t="str">
        <f>dataMatch!E33</f>
        <v>G</v>
      </c>
      <c r="E35" s="24" t="str">
        <f>dataMatch!F33</f>
        <v>Brazil</v>
      </c>
      <c r="F35" s="31"/>
      <c r="G35" s="25" t="s">
        <v>103</v>
      </c>
      <c r="H35" s="31"/>
      <c r="I35" s="24" t="str">
        <f>dataMatch!G33</f>
        <v>Switzerland</v>
      </c>
    </row>
    <row r="36" spans="2:26" ht="20.149999999999999" customHeight="1" thickBot="1" x14ac:dyDescent="0.4">
      <c r="B36" s="59"/>
      <c r="C36" s="23">
        <v>0.79166666666666663</v>
      </c>
      <c r="D36" s="23" t="str">
        <f>dataMatch!E34</f>
        <v>H</v>
      </c>
      <c r="E36" s="24" t="str">
        <f>dataMatch!F34</f>
        <v>Portugal</v>
      </c>
      <c r="F36" s="31"/>
      <c r="G36" s="25" t="s">
        <v>103</v>
      </c>
      <c r="H36" s="31"/>
      <c r="I36" s="24" t="str">
        <f>dataMatch!G34</f>
        <v>Uruguay</v>
      </c>
    </row>
    <row r="37" spans="2:26" ht="20.149999999999999" customHeight="1" thickBot="1" x14ac:dyDescent="0.4">
      <c r="B37" s="58" t="s">
        <v>120</v>
      </c>
      <c r="C37" s="23">
        <v>0.625</v>
      </c>
      <c r="D37" s="23" t="str">
        <f>dataMatch!E35</f>
        <v>A</v>
      </c>
      <c r="E37" s="24" t="str">
        <f>dataMatch!F35</f>
        <v>Ecuador</v>
      </c>
      <c r="F37" s="31"/>
      <c r="G37" s="25" t="s">
        <v>103</v>
      </c>
      <c r="H37" s="31"/>
      <c r="I37" s="24" t="str">
        <f>dataMatch!G35</f>
        <v>Senegal</v>
      </c>
    </row>
    <row r="38" spans="2:26" ht="20.149999999999999" customHeight="1" thickBot="1" x14ac:dyDescent="0.4">
      <c r="B38" s="58"/>
      <c r="C38" s="23">
        <v>0.625</v>
      </c>
      <c r="D38" s="23" t="str">
        <f>dataMatch!E36</f>
        <v>A</v>
      </c>
      <c r="E38" s="24" t="str">
        <f>dataMatch!F36</f>
        <v>Netherlands</v>
      </c>
      <c r="F38" s="31"/>
      <c r="G38" s="25" t="s">
        <v>103</v>
      </c>
      <c r="H38" s="31"/>
      <c r="I38" s="24" t="str">
        <f>dataMatch!G36</f>
        <v>Qatar</v>
      </c>
    </row>
    <row r="39" spans="2:26" ht="20.149999999999999" customHeight="1" thickBot="1" x14ac:dyDescent="0.4">
      <c r="B39" s="58"/>
      <c r="C39" s="23">
        <v>0.79166666666666663</v>
      </c>
      <c r="D39" s="23" t="str">
        <f>dataMatch!E37</f>
        <v>B</v>
      </c>
      <c r="E39" s="24" t="str">
        <f>dataMatch!F37</f>
        <v>Wales</v>
      </c>
      <c r="F39" s="31"/>
      <c r="G39" s="25" t="s">
        <v>103</v>
      </c>
      <c r="H39" s="31"/>
      <c r="I39" s="24" t="str">
        <f>dataMatch!G37</f>
        <v>England</v>
      </c>
    </row>
    <row r="40" spans="2:26" ht="20.149999999999999" customHeight="1" thickBot="1" x14ac:dyDescent="0.4">
      <c r="B40" s="58"/>
      <c r="C40" s="23">
        <v>0.79166666666666663</v>
      </c>
      <c r="D40" s="23" t="str">
        <f>dataMatch!E38</f>
        <v>B</v>
      </c>
      <c r="E40" s="24" t="str">
        <f>dataMatch!F38</f>
        <v>IR Iran</v>
      </c>
      <c r="F40" s="31"/>
      <c r="G40" s="25" t="s">
        <v>103</v>
      </c>
      <c r="H40" s="31"/>
      <c r="I40" s="24" t="str">
        <f>dataMatch!G38</f>
        <v>USA</v>
      </c>
    </row>
    <row r="41" spans="2:26" ht="20.149999999999999" customHeight="1" thickBot="1" x14ac:dyDescent="0.4">
      <c r="B41" s="59" t="s">
        <v>121</v>
      </c>
      <c r="C41" s="23">
        <v>0.625</v>
      </c>
      <c r="D41" s="23" t="str">
        <f>dataMatch!E39</f>
        <v>D</v>
      </c>
      <c r="E41" s="24" t="str">
        <f>dataMatch!F39</f>
        <v>Australia</v>
      </c>
      <c r="F41" s="31"/>
      <c r="G41" s="25" t="s">
        <v>103</v>
      </c>
      <c r="H41" s="31"/>
      <c r="I41" s="24" t="str">
        <f>dataMatch!G39</f>
        <v>Denmark</v>
      </c>
    </row>
    <row r="42" spans="2:26" ht="20.149999999999999" customHeight="1" thickBot="1" x14ac:dyDescent="0.4">
      <c r="B42" s="59"/>
      <c r="C42" s="23">
        <v>0.625</v>
      </c>
      <c r="D42" s="23" t="str">
        <f>dataMatch!E40</f>
        <v>D</v>
      </c>
      <c r="E42" s="24" t="str">
        <f>dataMatch!F40</f>
        <v>Tunisia</v>
      </c>
      <c r="F42" s="31"/>
      <c r="G42" s="25" t="s">
        <v>103</v>
      </c>
      <c r="H42" s="31"/>
      <c r="I42" s="24" t="str">
        <f>dataMatch!G40</f>
        <v>France</v>
      </c>
    </row>
    <row r="43" spans="2:26" ht="20.149999999999999" customHeight="1" thickBot="1" x14ac:dyDescent="0.4">
      <c r="B43" s="59"/>
      <c r="C43" s="23">
        <v>0.79166666666666663</v>
      </c>
      <c r="D43" s="23" t="str">
        <f>dataMatch!E41</f>
        <v>C</v>
      </c>
      <c r="E43" s="24" t="str">
        <f>dataMatch!F41</f>
        <v>Poland</v>
      </c>
      <c r="F43" s="31"/>
      <c r="G43" s="25" t="s">
        <v>103</v>
      </c>
      <c r="H43" s="31"/>
      <c r="I43" s="24" t="str">
        <f>dataMatch!G41</f>
        <v>Argentina</v>
      </c>
    </row>
    <row r="44" spans="2:26" ht="20.149999999999999" customHeight="1" thickBot="1" x14ac:dyDescent="0.4">
      <c r="B44" s="59"/>
      <c r="C44" s="23">
        <v>0.79166666666666663</v>
      </c>
      <c r="D44" s="23" t="str">
        <f>dataMatch!E42</f>
        <v>C</v>
      </c>
      <c r="E44" s="24" t="str">
        <f>dataMatch!F42</f>
        <v>Saudi Arabia</v>
      </c>
      <c r="F44" s="31"/>
      <c r="G44" s="25" t="s">
        <v>103</v>
      </c>
      <c r="H44" s="31"/>
      <c r="I44" s="24" t="str">
        <f>dataMatch!G42</f>
        <v>Mexico</v>
      </c>
    </row>
    <row r="45" spans="2:26" ht="20.149999999999999" customHeight="1" thickBot="1" x14ac:dyDescent="0.4">
      <c r="B45" s="58" t="s">
        <v>122</v>
      </c>
      <c r="C45" s="23">
        <v>0.625</v>
      </c>
      <c r="D45" s="23" t="str">
        <f>dataMatch!E43</f>
        <v>F</v>
      </c>
      <c r="E45" s="24" t="str">
        <f>dataMatch!F43</f>
        <v>Croatia</v>
      </c>
      <c r="F45" s="31"/>
      <c r="G45" s="25" t="s">
        <v>103</v>
      </c>
      <c r="H45" s="31"/>
      <c r="I45" s="24" t="str">
        <f>dataMatch!G43</f>
        <v>Belgium</v>
      </c>
    </row>
    <row r="46" spans="2:26" ht="20.149999999999999" customHeight="1" thickBot="1" x14ac:dyDescent="0.4">
      <c r="B46" s="58"/>
      <c r="C46" s="23">
        <v>0.625</v>
      </c>
      <c r="D46" s="23" t="str">
        <f>dataMatch!E44</f>
        <v>F</v>
      </c>
      <c r="E46" s="24" t="str">
        <f>dataMatch!F44</f>
        <v>Canada</v>
      </c>
      <c r="F46" s="31"/>
      <c r="G46" s="25" t="s">
        <v>103</v>
      </c>
      <c r="H46" s="31"/>
      <c r="I46" s="24" t="str">
        <f>dataMatch!G44</f>
        <v>Morocco</v>
      </c>
    </row>
    <row r="47" spans="2:26" ht="20.149999999999999" customHeight="1" thickBot="1" x14ac:dyDescent="0.4">
      <c r="B47" s="58"/>
      <c r="C47" s="23">
        <v>0.79166666666666663</v>
      </c>
      <c r="D47" s="23" t="str">
        <f>dataMatch!E45</f>
        <v>E</v>
      </c>
      <c r="E47" s="24" t="str">
        <f>dataMatch!F45</f>
        <v>Japan</v>
      </c>
      <c r="F47" s="31"/>
      <c r="G47" s="25" t="s">
        <v>103</v>
      </c>
      <c r="H47" s="31"/>
      <c r="I47" s="24" t="str">
        <f>dataMatch!G45</f>
        <v>Spain</v>
      </c>
    </row>
    <row r="48" spans="2:26" ht="20.149999999999999" customHeight="1" thickBot="1" x14ac:dyDescent="0.4">
      <c r="B48" s="58"/>
      <c r="C48" s="23">
        <v>0.79166666666666663</v>
      </c>
      <c r="D48" s="23" t="str">
        <f>dataMatch!E46</f>
        <v>E</v>
      </c>
      <c r="E48" s="24" t="str">
        <f>dataMatch!F46</f>
        <v>Costa Rica</v>
      </c>
      <c r="F48" s="31"/>
      <c r="G48" s="25" t="s">
        <v>103</v>
      </c>
      <c r="H48" s="31"/>
      <c r="I48" s="24" t="str">
        <f>dataMatch!G46</f>
        <v>Germany</v>
      </c>
    </row>
    <row r="49" spans="2:9" ht="20.149999999999999" customHeight="1" thickBot="1" x14ac:dyDescent="0.4">
      <c r="B49" s="59" t="s">
        <v>123</v>
      </c>
      <c r="C49" s="23">
        <v>0.625</v>
      </c>
      <c r="D49" s="23" t="str">
        <f>dataMatch!E47</f>
        <v>H</v>
      </c>
      <c r="E49" s="24" t="str">
        <f>dataMatch!F47</f>
        <v>Ghana</v>
      </c>
      <c r="F49" s="31"/>
      <c r="G49" s="25" t="s">
        <v>103</v>
      </c>
      <c r="H49" s="31"/>
      <c r="I49" s="24" t="str">
        <f>dataMatch!G47</f>
        <v>Uruguay</v>
      </c>
    </row>
    <row r="50" spans="2:9" ht="20.149999999999999" customHeight="1" thickBot="1" x14ac:dyDescent="0.4">
      <c r="B50" s="59"/>
      <c r="C50" s="23">
        <v>0.625</v>
      </c>
      <c r="D50" s="23" t="str">
        <f>dataMatch!E48</f>
        <v>H</v>
      </c>
      <c r="E50" s="24" t="str">
        <f>dataMatch!F48</f>
        <v>Korea Republic</v>
      </c>
      <c r="F50" s="31"/>
      <c r="G50" s="25" t="s">
        <v>103</v>
      </c>
      <c r="H50" s="31"/>
      <c r="I50" s="24" t="str">
        <f>dataMatch!G48</f>
        <v>Portugal</v>
      </c>
    </row>
    <row r="51" spans="2:9" ht="20.149999999999999" customHeight="1" thickBot="1" x14ac:dyDescent="0.4">
      <c r="B51" s="59"/>
      <c r="C51" s="23">
        <v>0.79166666666666663</v>
      </c>
      <c r="D51" s="23" t="str">
        <f>dataMatch!E49</f>
        <v>G</v>
      </c>
      <c r="E51" s="24" t="str">
        <f>dataMatch!F49</f>
        <v>Serbia</v>
      </c>
      <c r="F51" s="31"/>
      <c r="G51" s="25" t="s">
        <v>103</v>
      </c>
      <c r="H51" s="31"/>
      <c r="I51" s="24" t="str">
        <f>dataMatch!G49</f>
        <v>Switzerland</v>
      </c>
    </row>
    <row r="52" spans="2:9" ht="20.149999999999999" customHeight="1" thickBot="1" x14ac:dyDescent="0.4">
      <c r="B52" s="59"/>
      <c r="C52" s="23">
        <v>0.79166666666666663</v>
      </c>
      <c r="D52" s="23" t="str">
        <f>dataMatch!E50</f>
        <v>G</v>
      </c>
      <c r="E52" s="24" t="str">
        <f>dataMatch!F50</f>
        <v>Cameroon</v>
      </c>
      <c r="F52" s="32"/>
      <c r="G52" s="25" t="s">
        <v>103</v>
      </c>
      <c r="H52" s="32"/>
      <c r="I52" s="24" t="str">
        <f>dataMatch!G50</f>
        <v>Brazil</v>
      </c>
    </row>
    <row r="53" spans="2:9" ht="20.149999999999999" customHeight="1" thickTop="1" thickBot="1" x14ac:dyDescent="0.4">
      <c r="B53" s="55" t="s">
        <v>124</v>
      </c>
      <c r="C53" s="56"/>
      <c r="D53" s="56"/>
      <c r="E53" s="56"/>
      <c r="F53" s="56"/>
      <c r="G53" s="56"/>
      <c r="H53" s="56"/>
      <c r="I53" s="57"/>
    </row>
    <row r="54" spans="2:9" ht="22" customHeight="1" outlineLevel="1" thickTop="1" thickBot="1" x14ac:dyDescent="0.4">
      <c r="B54" s="52" t="s">
        <v>125</v>
      </c>
      <c r="C54" s="29">
        <v>0.625</v>
      </c>
      <c r="D54" s="18" t="s">
        <v>126</v>
      </c>
      <c r="E54" s="7" t="str">
        <f>M8</f>
        <v>Qatar</v>
      </c>
      <c r="F54" s="31"/>
      <c r="G54" s="25" t="s">
        <v>103</v>
      </c>
      <c r="H54" s="31"/>
      <c r="I54" s="7" t="str">
        <f>M16</f>
        <v>IR Iran</v>
      </c>
    </row>
    <row r="55" spans="2:9" ht="22" customHeight="1" outlineLevel="1" thickBot="1" x14ac:dyDescent="0.4">
      <c r="B55" s="60"/>
      <c r="C55" s="29">
        <v>0.79166666666666663</v>
      </c>
      <c r="D55" s="18" t="s">
        <v>127</v>
      </c>
      <c r="E55" s="7" t="str">
        <f>M22</f>
        <v>Argentina</v>
      </c>
      <c r="F55" s="31"/>
      <c r="G55" s="25" t="s">
        <v>103</v>
      </c>
      <c r="H55" s="31"/>
      <c r="I55" s="7" t="str">
        <f>M30</f>
        <v>Denmark</v>
      </c>
    </row>
    <row r="56" spans="2:9" ht="22" customHeight="1" outlineLevel="1" thickBot="1" x14ac:dyDescent="0.4">
      <c r="B56" s="54" t="s">
        <v>128</v>
      </c>
      <c r="C56" s="29">
        <v>0.625</v>
      </c>
      <c r="D56" s="18" t="s">
        <v>129</v>
      </c>
      <c r="E56" s="7" t="str">
        <f>M29</f>
        <v>France</v>
      </c>
      <c r="F56" s="31"/>
      <c r="G56" s="25" t="s">
        <v>103</v>
      </c>
      <c r="H56" s="31"/>
      <c r="I56" s="7" t="str">
        <f>M23</f>
        <v>Saudi Arabia</v>
      </c>
    </row>
    <row r="57" spans="2:9" ht="22" customHeight="1" outlineLevel="1" thickBot="1" x14ac:dyDescent="0.4">
      <c r="B57" s="54"/>
      <c r="C57" s="29">
        <v>0.79166666666666663</v>
      </c>
      <c r="D57" s="18" t="s">
        <v>130</v>
      </c>
      <c r="E57" s="7" t="str">
        <f>M15</f>
        <v>England</v>
      </c>
      <c r="F57" s="31"/>
      <c r="G57" s="25" t="s">
        <v>103</v>
      </c>
      <c r="H57" s="31"/>
      <c r="I57" s="7" t="str">
        <f>M9</f>
        <v>Ecuador</v>
      </c>
    </row>
    <row r="58" spans="2:9" ht="22" customHeight="1" outlineLevel="1" thickBot="1" x14ac:dyDescent="0.4">
      <c r="B58" s="53" t="s">
        <v>131</v>
      </c>
      <c r="C58" s="29">
        <v>0.625</v>
      </c>
      <c r="D58" s="18" t="s">
        <v>132</v>
      </c>
      <c r="E58" s="7" t="str">
        <f>T8</f>
        <v>Spain</v>
      </c>
      <c r="F58" s="31"/>
      <c r="G58" s="25" t="s">
        <v>103</v>
      </c>
      <c r="H58" s="31"/>
      <c r="I58" s="7" t="str">
        <f>T16</f>
        <v>Canada</v>
      </c>
    </row>
    <row r="59" spans="2:9" ht="22" customHeight="1" outlineLevel="1" thickBot="1" x14ac:dyDescent="0.4">
      <c r="B59" s="53"/>
      <c r="C59" s="29">
        <v>0.79166666666666663</v>
      </c>
      <c r="D59" s="18" t="s">
        <v>133</v>
      </c>
      <c r="E59" s="7" t="str">
        <f>T22</f>
        <v>Brazil</v>
      </c>
      <c r="F59" s="31"/>
      <c r="G59" s="25" t="s">
        <v>103</v>
      </c>
      <c r="H59" s="31"/>
      <c r="I59" s="7" t="str">
        <f>T30</f>
        <v>Ghana</v>
      </c>
    </row>
    <row r="60" spans="2:9" ht="22" customHeight="1" outlineLevel="1" thickBot="1" x14ac:dyDescent="0.4">
      <c r="B60" s="54" t="s">
        <v>134</v>
      </c>
      <c r="C60" s="29">
        <v>0.625</v>
      </c>
      <c r="D60" s="18" t="s">
        <v>135</v>
      </c>
      <c r="E60" s="7" t="str">
        <f>T15</f>
        <v>Belgium</v>
      </c>
      <c r="F60" s="31"/>
      <c r="G60" s="25" t="s">
        <v>103</v>
      </c>
      <c r="H60" s="31"/>
      <c r="I60" s="7" t="str">
        <f>T9</f>
        <v>Germany</v>
      </c>
    </row>
    <row r="61" spans="2:9" ht="22" customHeight="1" outlineLevel="1" thickBot="1" x14ac:dyDescent="0.4">
      <c r="B61" s="54"/>
      <c r="C61" s="29">
        <v>0.79166666666666663</v>
      </c>
      <c r="D61" s="18" t="s">
        <v>136</v>
      </c>
      <c r="E61" s="7" t="str">
        <f>T29</f>
        <v>Portugal</v>
      </c>
      <c r="F61" s="32"/>
      <c r="G61" s="25" t="s">
        <v>103</v>
      </c>
      <c r="H61" s="32"/>
      <c r="I61" s="7" t="str">
        <f>T23</f>
        <v>Serbia</v>
      </c>
    </row>
    <row r="62" spans="2:9" ht="22" customHeight="1" thickTop="1" thickBot="1" x14ac:dyDescent="0.4">
      <c r="B62" s="55" t="s">
        <v>137</v>
      </c>
      <c r="C62" s="56"/>
      <c r="D62" s="56"/>
      <c r="E62" s="56"/>
      <c r="F62" s="56"/>
      <c r="G62" s="56"/>
      <c r="H62" s="56"/>
      <c r="I62" s="57"/>
    </row>
    <row r="63" spans="2:9" ht="22" customHeight="1" outlineLevel="1" thickTop="1" thickBot="1" x14ac:dyDescent="0.4">
      <c r="B63" s="52" t="s">
        <v>138</v>
      </c>
      <c r="C63" s="29">
        <v>0.625</v>
      </c>
      <c r="E63" s="7" t="str">
        <f>IF(F58&gt;H58,E58,I58)</f>
        <v>Canada</v>
      </c>
      <c r="F63" s="31"/>
      <c r="G63" s="25" t="s">
        <v>103</v>
      </c>
      <c r="H63" s="31"/>
      <c r="I63" s="7" t="str">
        <f>IF(F59&gt;H59,E59,I59)</f>
        <v>Ghana</v>
      </c>
    </row>
    <row r="64" spans="2:9" ht="22" customHeight="1" outlineLevel="1" thickBot="1" x14ac:dyDescent="0.4">
      <c r="B64" s="53"/>
      <c r="C64" s="29">
        <v>0.79166666666666663</v>
      </c>
      <c r="E64" s="7" t="str">
        <f>IF(F54&gt;H54,E54,I54)</f>
        <v>IR Iran</v>
      </c>
      <c r="F64" s="31"/>
      <c r="G64" s="25" t="s">
        <v>103</v>
      </c>
      <c r="H64" s="31"/>
      <c r="I64" s="7" t="str">
        <f>IF(F55&gt;H55,E55,I55)</f>
        <v>Denmark</v>
      </c>
    </row>
    <row r="65" spans="2:9" ht="22" customHeight="1" outlineLevel="1" thickBot="1" x14ac:dyDescent="0.4">
      <c r="B65" s="54" t="s">
        <v>139</v>
      </c>
      <c r="C65" s="29">
        <v>0.625</v>
      </c>
      <c r="E65" s="7" t="str">
        <f>IF(F60&gt;H60,E60,I60)</f>
        <v>Germany</v>
      </c>
      <c r="F65" s="31"/>
      <c r="G65" s="25" t="s">
        <v>103</v>
      </c>
      <c r="H65" s="31"/>
      <c r="I65" s="7" t="str">
        <f>IF(F61&gt;H61,E61,I61)</f>
        <v>Serbia</v>
      </c>
    </row>
    <row r="66" spans="2:9" ht="22" customHeight="1" outlineLevel="1" thickBot="1" x14ac:dyDescent="0.4">
      <c r="B66" s="54"/>
      <c r="C66" s="29">
        <v>0.79166666666666663</v>
      </c>
      <c r="E66" s="7" t="str">
        <f>IF(F57&gt;H57,E57,I57)</f>
        <v>Ecuador</v>
      </c>
      <c r="F66" s="32"/>
      <c r="G66" s="25" t="s">
        <v>103</v>
      </c>
      <c r="H66" s="32"/>
      <c r="I66" s="7" t="str">
        <f>IF(F56&gt;H56,E56,I56)</f>
        <v>Saudi Arabia</v>
      </c>
    </row>
    <row r="67" spans="2:9" ht="22" customHeight="1" thickTop="1" thickBot="1" x14ac:dyDescent="0.4">
      <c r="B67" s="55" t="s">
        <v>140</v>
      </c>
      <c r="C67" s="56"/>
      <c r="D67" s="56"/>
      <c r="E67" s="56"/>
      <c r="F67" s="56"/>
      <c r="G67" s="56"/>
      <c r="H67" s="56"/>
      <c r="I67" s="57"/>
    </row>
    <row r="68" spans="2:9" ht="22" customHeight="1" outlineLevel="1" thickTop="1" thickBot="1" x14ac:dyDescent="0.4">
      <c r="B68" s="22" t="s">
        <v>141</v>
      </c>
      <c r="C68" s="29">
        <v>0.79166666666666663</v>
      </c>
      <c r="E68" s="7" t="str">
        <f>IF(F64&gt;H64,E64,I64)</f>
        <v>Denmark</v>
      </c>
      <c r="F68" s="31"/>
      <c r="G68" s="25" t="s">
        <v>103</v>
      </c>
      <c r="H68" s="31"/>
      <c r="I68" s="7" t="str">
        <f>IF(F63&gt;H63,E63,I63)</f>
        <v>Ghana</v>
      </c>
    </row>
    <row r="69" spans="2:9" ht="22" customHeight="1" outlineLevel="1" thickBot="1" x14ac:dyDescent="0.4">
      <c r="B69" s="30" t="s">
        <v>142</v>
      </c>
      <c r="C69" s="29">
        <v>0.79166666666666663</v>
      </c>
      <c r="E69" s="7" t="str">
        <f>IF(F66&gt;H66,E66,I66)</f>
        <v>Saudi Arabia</v>
      </c>
      <c r="F69" s="32"/>
      <c r="G69" s="25" t="s">
        <v>103</v>
      </c>
      <c r="H69" s="32"/>
      <c r="I69" s="7" t="str">
        <f>IF(F65&gt;H65,E65,I65)</f>
        <v>Serbia</v>
      </c>
    </row>
    <row r="70" spans="2:9" ht="22" customHeight="1" thickTop="1" thickBot="1" x14ac:dyDescent="0.4">
      <c r="B70" s="55" t="s">
        <v>143</v>
      </c>
      <c r="C70" s="56"/>
      <c r="D70" s="56"/>
      <c r="E70" s="56"/>
      <c r="F70" s="56"/>
      <c r="G70" s="56"/>
      <c r="H70" s="56"/>
      <c r="I70" s="57"/>
    </row>
    <row r="71" spans="2:9" ht="22" customHeight="1" outlineLevel="1" thickTop="1" thickBot="1" x14ac:dyDescent="0.4">
      <c r="B71" s="22" t="s">
        <v>144</v>
      </c>
      <c r="C71" s="29">
        <v>0.625</v>
      </c>
      <c r="E71" s="7" t="str">
        <f>IF(F68&lt;H68,E68,I68)</f>
        <v>Ghana</v>
      </c>
      <c r="F71" s="32"/>
      <c r="G71" s="25" t="s">
        <v>103</v>
      </c>
      <c r="H71" s="32"/>
      <c r="I71" s="7" t="str">
        <f>IF(F69&lt;H69,E69,I69)</f>
        <v>Serbia</v>
      </c>
    </row>
    <row r="72" spans="2:9" ht="22" customHeight="1" thickTop="1" thickBot="1" x14ac:dyDescent="0.4">
      <c r="B72" s="55" t="s">
        <v>145</v>
      </c>
      <c r="C72" s="56"/>
      <c r="D72" s="56"/>
      <c r="E72" s="56"/>
      <c r="F72" s="56"/>
      <c r="G72" s="56"/>
      <c r="H72" s="56"/>
      <c r="I72" s="57"/>
    </row>
    <row r="73" spans="2:9" ht="22" customHeight="1" outlineLevel="1" thickTop="1" thickBot="1" x14ac:dyDescent="0.4">
      <c r="B73" s="30" t="s">
        <v>146</v>
      </c>
      <c r="C73" s="29">
        <v>0.625</v>
      </c>
      <c r="E73" s="7" t="str">
        <f>IF(F68&gt;H68,E68,I68)</f>
        <v>Ghana</v>
      </c>
      <c r="F73" s="31"/>
      <c r="G73" s="25" t="s">
        <v>103</v>
      </c>
      <c r="H73" s="31"/>
      <c r="I73" s="7" t="str">
        <f>IF(F69&gt;H69,E69,I69)</f>
        <v>Serbia</v>
      </c>
    </row>
    <row r="74" spans="2:9" ht="22" customHeight="1" x14ac:dyDescent="0.35"/>
  </sheetData>
  <mergeCells count="31">
    <mergeCell ref="B63:B64"/>
    <mergeCell ref="B65:B66"/>
    <mergeCell ref="B67:I67"/>
    <mergeCell ref="B70:I70"/>
    <mergeCell ref="B72:I72"/>
    <mergeCell ref="B62:I62"/>
    <mergeCell ref="B29:B32"/>
    <mergeCell ref="B33:B36"/>
    <mergeCell ref="B37:B40"/>
    <mergeCell ref="B41:B44"/>
    <mergeCell ref="B45:B48"/>
    <mergeCell ref="B49:B52"/>
    <mergeCell ref="B53:I53"/>
    <mergeCell ref="B54:B55"/>
    <mergeCell ref="B56:B57"/>
    <mergeCell ref="B58:B59"/>
    <mergeCell ref="B60:B61"/>
    <mergeCell ref="B17:B20"/>
    <mergeCell ref="M20:R20"/>
    <mergeCell ref="T20:Y20"/>
    <mergeCell ref="B21:B24"/>
    <mergeCell ref="B25:B28"/>
    <mergeCell ref="M27:R27"/>
    <mergeCell ref="T27:Y27"/>
    <mergeCell ref="B6:B8"/>
    <mergeCell ref="M6:R6"/>
    <mergeCell ref="T6:Y6"/>
    <mergeCell ref="B9:B12"/>
    <mergeCell ref="B13:B16"/>
    <mergeCell ref="M13:R13"/>
    <mergeCell ref="T13:Y13"/>
  </mergeCells>
  <conditionalFormatting sqref="E6:E52">
    <cfRule type="expression" dxfId="109" priority="36">
      <formula>F6&gt;H6</formula>
    </cfRule>
  </conditionalFormatting>
  <conditionalFormatting sqref="I6:I52">
    <cfRule type="expression" dxfId="108" priority="35">
      <formula>F6&lt;H6</formula>
    </cfRule>
  </conditionalFormatting>
  <conditionalFormatting sqref="M8">
    <cfRule type="expression" dxfId="107" priority="34">
      <formula>$M$8&lt;&gt;#REF!</formula>
    </cfRule>
  </conditionalFormatting>
  <conditionalFormatting sqref="M9">
    <cfRule type="expression" dxfId="106" priority="33">
      <formula>$M$9&lt;&gt;#REF!</formula>
    </cfRule>
  </conditionalFormatting>
  <conditionalFormatting sqref="M10">
    <cfRule type="expression" dxfId="105" priority="32">
      <formula>$M$10&lt;&gt;#REF!</formula>
    </cfRule>
  </conditionalFormatting>
  <conditionalFormatting sqref="M11">
    <cfRule type="expression" dxfId="104" priority="31">
      <formula>$M$11&lt;&gt;#REF!</formula>
    </cfRule>
  </conditionalFormatting>
  <conditionalFormatting sqref="M15">
    <cfRule type="expression" dxfId="103" priority="30">
      <formula>$M$15&lt;&gt;#REF!</formula>
    </cfRule>
  </conditionalFormatting>
  <conditionalFormatting sqref="M16">
    <cfRule type="expression" dxfId="102" priority="29">
      <formula>$M$16&lt;&gt;#REF!</formula>
    </cfRule>
  </conditionalFormatting>
  <conditionalFormatting sqref="M17">
    <cfRule type="expression" dxfId="101" priority="28">
      <formula>$M$17&lt;&gt;#REF!</formula>
    </cfRule>
  </conditionalFormatting>
  <conditionalFormatting sqref="M18">
    <cfRule type="expression" dxfId="100" priority="27">
      <formula>$M$18&lt;&gt;#REF!</formula>
    </cfRule>
  </conditionalFormatting>
  <conditionalFormatting sqref="M22">
    <cfRule type="expression" dxfId="99" priority="26">
      <formula>$M$22&lt;&gt;#REF!</formula>
    </cfRule>
  </conditionalFormatting>
  <conditionalFormatting sqref="M23">
    <cfRule type="expression" dxfId="98" priority="25">
      <formula>$M$23&lt;&gt;#REF!</formula>
    </cfRule>
  </conditionalFormatting>
  <conditionalFormatting sqref="M24">
    <cfRule type="expression" dxfId="97" priority="24">
      <formula>$M$24&lt;&gt;#REF!</formula>
    </cfRule>
  </conditionalFormatting>
  <conditionalFormatting sqref="M25">
    <cfRule type="expression" dxfId="96" priority="23">
      <formula>$M$25&lt;&gt;#REF!</formula>
    </cfRule>
  </conditionalFormatting>
  <conditionalFormatting sqref="M29">
    <cfRule type="expression" dxfId="95" priority="22">
      <formula>$M$29&lt;&gt;#REF!</formula>
    </cfRule>
  </conditionalFormatting>
  <conditionalFormatting sqref="M30">
    <cfRule type="expression" dxfId="94" priority="21">
      <formula>$M$30&lt;&gt;#REF!</formula>
    </cfRule>
  </conditionalFormatting>
  <conditionalFormatting sqref="M31">
    <cfRule type="expression" dxfId="93" priority="20">
      <formula>$M$31&lt;&gt;#REF!</formula>
    </cfRule>
  </conditionalFormatting>
  <conditionalFormatting sqref="M32">
    <cfRule type="expression" dxfId="92" priority="19">
      <formula>$M$32&lt;&gt;#REF!</formula>
    </cfRule>
  </conditionalFormatting>
  <conditionalFormatting sqref="T8">
    <cfRule type="expression" dxfId="91" priority="18">
      <formula>$T$8&lt;&gt;#REF!</formula>
    </cfRule>
  </conditionalFormatting>
  <conditionalFormatting sqref="T9">
    <cfRule type="expression" dxfId="90" priority="17">
      <formula>$T$9&lt;&gt;#REF!</formula>
    </cfRule>
  </conditionalFormatting>
  <conditionalFormatting sqref="T10">
    <cfRule type="expression" dxfId="89" priority="16">
      <formula>$T$10&lt;&gt;#REF!</formula>
    </cfRule>
  </conditionalFormatting>
  <conditionalFormatting sqref="T11">
    <cfRule type="expression" dxfId="88" priority="15">
      <formula>$T$11&lt;&gt;#REF!</formula>
    </cfRule>
  </conditionalFormatting>
  <conditionalFormatting sqref="T15">
    <cfRule type="expression" dxfId="87" priority="14">
      <formula>$T$15&lt;&gt;#REF!</formula>
    </cfRule>
  </conditionalFormatting>
  <conditionalFormatting sqref="T16">
    <cfRule type="expression" dxfId="86" priority="13">
      <formula>$T$16&lt;&gt;#REF!</formula>
    </cfRule>
  </conditionalFormatting>
  <conditionalFormatting sqref="T17">
    <cfRule type="expression" dxfId="85" priority="12">
      <formula>$T$17&lt;&gt;#REF!</formula>
    </cfRule>
  </conditionalFormatting>
  <conditionalFormatting sqref="T18">
    <cfRule type="expression" dxfId="84" priority="11">
      <formula>$T$18&lt;&gt;#REF!</formula>
    </cfRule>
  </conditionalFormatting>
  <conditionalFormatting sqref="T22">
    <cfRule type="expression" dxfId="83" priority="10">
      <formula>$T$22&lt;&gt;#REF!</formula>
    </cfRule>
  </conditionalFormatting>
  <conditionalFormatting sqref="T23">
    <cfRule type="expression" dxfId="82" priority="9">
      <formula>$T$23&lt;&gt;#REF!</formula>
    </cfRule>
  </conditionalFormatting>
  <conditionalFormatting sqref="T24">
    <cfRule type="expression" dxfId="81" priority="8">
      <formula>$T$24&lt;&gt;#REF!</formula>
    </cfRule>
  </conditionalFormatting>
  <conditionalFormatting sqref="T25">
    <cfRule type="expression" dxfId="80" priority="7">
      <formula>$T$25&lt;&gt;#REF!</formula>
    </cfRule>
  </conditionalFormatting>
  <conditionalFormatting sqref="T29">
    <cfRule type="expression" dxfId="79" priority="6">
      <formula>$T$29&lt;&gt;#REF!</formula>
    </cfRule>
  </conditionalFormatting>
  <conditionalFormatting sqref="T30">
    <cfRule type="expression" dxfId="78" priority="5">
      <formula>$T$30&lt;&gt;#REF!</formula>
    </cfRule>
  </conditionalFormatting>
  <conditionalFormatting sqref="T31">
    <cfRule type="expression" dxfId="77" priority="4">
      <formula>$T$31&lt;&gt;#REF!</formula>
    </cfRule>
  </conditionalFormatting>
  <conditionalFormatting sqref="T32">
    <cfRule type="expression" dxfId="76" priority="3">
      <formula>$T$32&lt;&gt;#REF!</formula>
    </cfRule>
  </conditionalFormatting>
  <conditionalFormatting sqref="E5">
    <cfRule type="expression" dxfId="75" priority="2">
      <formula>F5&gt;H5</formula>
    </cfRule>
  </conditionalFormatting>
  <conditionalFormatting sqref="I5">
    <cfRule type="expression" dxfId="74" priority="1">
      <formula>F5&lt;H5</formula>
    </cfRule>
  </conditionalFormatting>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ealPts"/>
  <dimension ref="B2:AA74"/>
  <sheetViews>
    <sheetView showGridLines="0" zoomScale="70" zoomScaleNormal="70" workbookViewId="0">
      <selection activeCell="J12" sqref="J12"/>
    </sheetView>
  </sheetViews>
  <sheetFormatPr defaultColWidth="8.7265625" defaultRowHeight="14.5" outlineLevelRow="1" x14ac:dyDescent="0.35"/>
  <cols>
    <col min="1" max="1" width="1.453125" style="7" customWidth="1"/>
    <col min="2" max="2" width="10.453125" style="7" bestFit="1" customWidth="1"/>
    <col min="3" max="3" width="8.453125" style="7" bestFit="1" customWidth="1"/>
    <col min="4" max="4" width="9.81640625" style="7" bestFit="1" customWidth="1"/>
    <col min="5" max="5" width="14" style="7" bestFit="1" customWidth="1"/>
    <col min="6" max="6" width="3.7265625" style="19" customWidth="1"/>
    <col min="7" max="7" width="3.7265625" style="7" customWidth="1"/>
    <col min="8" max="8" width="3.7265625" style="19" customWidth="1"/>
    <col min="9" max="9" width="14" style="7" bestFit="1" customWidth="1"/>
    <col min="10" max="11" width="4.7265625" style="7" customWidth="1"/>
    <col min="12" max="12" width="2" style="7" customWidth="1"/>
    <col min="13" max="13" width="11.81640625" style="7" bestFit="1" customWidth="1"/>
    <col min="14" max="19" width="8.7265625" style="7"/>
    <col min="20" max="20" width="14" style="7" bestFit="1" customWidth="1"/>
    <col min="21" max="25" width="8.7265625" style="7"/>
    <col min="26" max="26" width="2" style="7" customWidth="1"/>
    <col min="27" max="27" width="8.7265625" style="7" customWidth="1"/>
    <col min="28" max="16384" width="8.7265625" style="7"/>
  </cols>
  <sheetData>
    <row r="2" spans="2:27" x14ac:dyDescent="0.35">
      <c r="AA2" s="20"/>
    </row>
    <row r="3" spans="2:27" ht="29.5" customHeight="1" thickBot="1" x14ac:dyDescent="0.4">
      <c r="B3" s="28" t="s">
        <v>98</v>
      </c>
      <c r="C3" s="28" t="s">
        <v>99</v>
      </c>
      <c r="D3" s="28" t="s">
        <v>7</v>
      </c>
      <c r="E3" s="28" t="s">
        <v>100</v>
      </c>
      <c r="F3" s="28"/>
      <c r="G3" s="28"/>
      <c r="H3" s="28"/>
      <c r="I3" s="28" t="s">
        <v>101</v>
      </c>
      <c r="S3" s="21"/>
    </row>
    <row r="4" spans="2:27" ht="8.5" customHeight="1" thickTop="1" thickBot="1" x14ac:dyDescent="0.4">
      <c r="B4" s="42"/>
      <c r="C4" s="42"/>
      <c r="D4" s="42"/>
      <c r="E4" s="42"/>
      <c r="F4" s="42"/>
      <c r="G4" s="42"/>
      <c r="H4" s="42"/>
      <c r="I4" s="42"/>
      <c r="S4" s="21"/>
    </row>
    <row r="5" spans="2:27" ht="20.25" customHeight="1" thickBot="1" x14ac:dyDescent="0.4">
      <c r="B5" s="30" t="s">
        <v>102</v>
      </c>
      <c r="C5" s="23">
        <v>0.66666666666666663</v>
      </c>
      <c r="D5" s="19" t="s">
        <v>8</v>
      </c>
      <c r="E5" s="24" t="s">
        <v>28</v>
      </c>
      <c r="F5" s="47"/>
      <c r="G5" s="25" t="s">
        <v>103</v>
      </c>
      <c r="H5" s="31"/>
      <c r="I5" s="24" t="s">
        <v>32</v>
      </c>
      <c r="L5" s="22"/>
      <c r="M5" s="22"/>
      <c r="N5" s="22"/>
      <c r="O5" s="22"/>
      <c r="P5" s="22"/>
      <c r="Q5" s="22"/>
      <c r="R5" s="22"/>
      <c r="S5" s="22"/>
      <c r="T5" s="22"/>
      <c r="U5" s="22"/>
      <c r="V5" s="22"/>
      <c r="W5" s="22"/>
      <c r="X5" s="22"/>
      <c r="Y5" s="22"/>
      <c r="Z5" s="22"/>
    </row>
    <row r="6" spans="2:27" ht="20.25" customHeight="1" thickBot="1" x14ac:dyDescent="0.4">
      <c r="B6" s="58" t="s">
        <v>104</v>
      </c>
      <c r="C6" s="23">
        <v>0.54166666666666663</v>
      </c>
      <c r="D6" s="23" t="str">
        <f>dataMatch!E4</f>
        <v>B</v>
      </c>
      <c r="E6" s="24" t="str">
        <f>dataMatch!F4</f>
        <v>England</v>
      </c>
      <c r="F6" s="31"/>
      <c r="G6" s="25" t="s">
        <v>103</v>
      </c>
      <c r="H6" s="31"/>
      <c r="I6" s="24" t="str">
        <f>dataMatch!G4</f>
        <v>IR Iran</v>
      </c>
      <c r="L6" s="22"/>
      <c r="M6" s="61" t="s">
        <v>105</v>
      </c>
      <c r="N6" s="61"/>
      <c r="O6" s="61"/>
      <c r="P6" s="61"/>
      <c r="Q6" s="61"/>
      <c r="R6" s="61"/>
      <c r="S6" s="22"/>
      <c r="T6" s="61" t="s">
        <v>106</v>
      </c>
      <c r="U6" s="61"/>
      <c r="V6" s="61"/>
      <c r="W6" s="61"/>
      <c r="X6" s="61"/>
      <c r="Y6" s="61"/>
      <c r="Z6" s="22"/>
    </row>
    <row r="7" spans="2:27" ht="20.149999999999999" customHeight="1" thickTop="1" thickBot="1" x14ac:dyDescent="0.4">
      <c r="B7" s="58"/>
      <c r="C7" s="23">
        <v>0.66666666666666663</v>
      </c>
      <c r="D7" s="23" t="str">
        <f>dataMatch!E5</f>
        <v>A</v>
      </c>
      <c r="E7" s="24" t="str">
        <f>dataMatch!F5</f>
        <v>Senegal</v>
      </c>
      <c r="F7" s="31"/>
      <c r="G7" s="25" t="s">
        <v>103</v>
      </c>
      <c r="H7" s="31"/>
      <c r="I7" s="24" t="str">
        <f>dataMatch!G5</f>
        <v>Netherlands</v>
      </c>
      <c r="L7" s="22"/>
      <c r="M7" s="26" t="s">
        <v>9</v>
      </c>
      <c r="N7" s="46" t="s">
        <v>10</v>
      </c>
      <c r="O7" s="46" t="s">
        <v>11</v>
      </c>
      <c r="P7" s="46" t="s">
        <v>12</v>
      </c>
      <c r="Q7" s="46" t="s">
        <v>13</v>
      </c>
      <c r="R7" s="46" t="s">
        <v>14</v>
      </c>
      <c r="S7" s="22"/>
      <c r="T7" s="26" t="s">
        <v>9</v>
      </c>
      <c r="U7" s="46" t="s">
        <v>10</v>
      </c>
      <c r="V7" s="46" t="s">
        <v>11</v>
      </c>
      <c r="W7" s="46" t="s">
        <v>12</v>
      </c>
      <c r="X7" s="46" t="s">
        <v>13</v>
      </c>
      <c r="Y7" s="46" t="s">
        <v>14</v>
      </c>
      <c r="Z7" s="22"/>
    </row>
    <row r="8" spans="2:27" ht="20.149999999999999" customHeight="1" thickBot="1" x14ac:dyDescent="0.4">
      <c r="B8" s="58"/>
      <c r="C8" s="23">
        <v>0.79166666666666663</v>
      </c>
      <c r="D8" s="23" t="str">
        <f>dataMatch!E6</f>
        <v>B</v>
      </c>
      <c r="E8" s="24" t="str">
        <f>dataMatch!F6</f>
        <v>USA</v>
      </c>
      <c r="F8" s="31"/>
      <c r="G8" s="25" t="s">
        <v>103</v>
      </c>
      <c r="H8" s="31"/>
      <c r="I8" s="24" t="str">
        <f>dataMatch!G6</f>
        <v>Wales</v>
      </c>
      <c r="L8" s="22"/>
      <c r="M8" s="27" t="str">
        <f>groupReal!D3</f>
        <v>Qatar</v>
      </c>
      <c r="N8" s="45">
        <f>groupReal!E3</f>
        <v>0</v>
      </c>
      <c r="O8" s="45">
        <f>groupReal!F3</f>
        <v>0</v>
      </c>
      <c r="P8" s="45">
        <f>groupReal!G3</f>
        <v>0</v>
      </c>
      <c r="Q8" s="45">
        <f>groupReal!H3</f>
        <v>0</v>
      </c>
      <c r="R8" s="45">
        <f>groupReal!I3</f>
        <v>0</v>
      </c>
      <c r="S8" s="22"/>
      <c r="T8" s="27" t="str">
        <f>groupReal!Y3</f>
        <v>Spain</v>
      </c>
      <c r="U8" s="45">
        <f>groupReal!Z3</f>
        <v>0</v>
      </c>
      <c r="V8" s="45">
        <f>groupReal!AA3</f>
        <v>0</v>
      </c>
      <c r="W8" s="45">
        <f>groupReal!AB3</f>
        <v>0</v>
      </c>
      <c r="X8" s="45">
        <f>groupReal!AC3</f>
        <v>0</v>
      </c>
      <c r="Y8" s="45">
        <f>groupReal!AD3</f>
        <v>0</v>
      </c>
      <c r="Z8" s="22"/>
    </row>
    <row r="9" spans="2:27" ht="20.149999999999999" customHeight="1" thickBot="1" x14ac:dyDescent="0.4">
      <c r="B9" s="59" t="s">
        <v>107</v>
      </c>
      <c r="C9" s="23">
        <v>0.41666666666666669</v>
      </c>
      <c r="D9" s="23" t="str">
        <f>dataMatch!E7</f>
        <v>C</v>
      </c>
      <c r="E9" s="24" t="str">
        <f>dataMatch!F7</f>
        <v>Argentina</v>
      </c>
      <c r="F9" s="31"/>
      <c r="G9" s="25" t="s">
        <v>103</v>
      </c>
      <c r="H9" s="31"/>
      <c r="I9" s="24" t="str">
        <f>dataMatch!G7</f>
        <v>Saudi Arabia</v>
      </c>
      <c r="L9" s="22"/>
      <c r="M9" s="27" t="str">
        <f>groupReal!D4</f>
        <v>Ecuador</v>
      </c>
      <c r="N9" s="45">
        <f>groupReal!E4</f>
        <v>0</v>
      </c>
      <c r="O9" s="45">
        <f>groupReal!F4</f>
        <v>0</v>
      </c>
      <c r="P9" s="45">
        <f>groupReal!G4</f>
        <v>0</v>
      </c>
      <c r="Q9" s="45">
        <f>groupReal!H4</f>
        <v>0</v>
      </c>
      <c r="R9" s="45">
        <f>groupReal!I4</f>
        <v>0</v>
      </c>
      <c r="S9" s="22"/>
      <c r="T9" s="27" t="str">
        <f>groupReal!Y4</f>
        <v>Germany</v>
      </c>
      <c r="U9" s="45">
        <f>groupReal!Z4</f>
        <v>0</v>
      </c>
      <c r="V9" s="45">
        <f>groupReal!AA4</f>
        <v>0</v>
      </c>
      <c r="W9" s="45">
        <f>groupReal!AB4</f>
        <v>0</v>
      </c>
      <c r="X9" s="45">
        <f>groupReal!AC4</f>
        <v>0</v>
      </c>
      <c r="Y9" s="45">
        <f>groupReal!AD4</f>
        <v>0</v>
      </c>
      <c r="Z9" s="22"/>
    </row>
    <row r="10" spans="2:27" ht="20.149999999999999" customHeight="1" thickBot="1" x14ac:dyDescent="0.4">
      <c r="B10" s="59"/>
      <c r="C10" s="23">
        <v>0.54166666666666663</v>
      </c>
      <c r="D10" s="23" t="str">
        <f>dataMatch!E8</f>
        <v>D</v>
      </c>
      <c r="E10" s="24" t="str">
        <f>dataMatch!F8</f>
        <v>Denmark</v>
      </c>
      <c r="F10" s="31"/>
      <c r="G10" s="25" t="s">
        <v>103</v>
      </c>
      <c r="H10" s="31"/>
      <c r="I10" s="24" t="str">
        <f>dataMatch!G8</f>
        <v>Tunisia</v>
      </c>
      <c r="L10" s="22"/>
      <c r="M10" s="27" t="str">
        <f>groupReal!D5</f>
        <v>Senegal</v>
      </c>
      <c r="N10" s="45">
        <f>groupReal!E5</f>
        <v>0</v>
      </c>
      <c r="O10" s="45">
        <f>groupReal!F5</f>
        <v>0</v>
      </c>
      <c r="P10" s="45">
        <f>groupReal!G5</f>
        <v>0</v>
      </c>
      <c r="Q10" s="45">
        <f>groupReal!H5</f>
        <v>0</v>
      </c>
      <c r="R10" s="45">
        <f>groupReal!I5</f>
        <v>0</v>
      </c>
      <c r="S10" s="22"/>
      <c r="T10" s="27" t="str">
        <f>groupReal!Y5</f>
        <v>Japan</v>
      </c>
      <c r="U10" s="45">
        <f>groupReal!Z5</f>
        <v>0</v>
      </c>
      <c r="V10" s="45">
        <f>groupReal!AA5</f>
        <v>0</v>
      </c>
      <c r="W10" s="45">
        <f>groupReal!AB5</f>
        <v>0</v>
      </c>
      <c r="X10" s="45">
        <f>groupReal!AC5</f>
        <v>0</v>
      </c>
      <c r="Y10" s="45">
        <f>groupReal!AD5</f>
        <v>0</v>
      </c>
      <c r="Z10" s="22"/>
    </row>
    <row r="11" spans="2:27" ht="20.149999999999999" customHeight="1" thickBot="1" x14ac:dyDescent="0.4">
      <c r="B11" s="59"/>
      <c r="C11" s="23">
        <v>0.66666666666666663</v>
      </c>
      <c r="D11" s="23" t="str">
        <f>dataMatch!E9</f>
        <v>C</v>
      </c>
      <c r="E11" s="24" t="str">
        <f>dataMatch!F9</f>
        <v>Mexico</v>
      </c>
      <c r="F11" s="31"/>
      <c r="G11" s="25" t="s">
        <v>103</v>
      </c>
      <c r="H11" s="31"/>
      <c r="I11" s="24" t="str">
        <f>dataMatch!G9</f>
        <v>Poland</v>
      </c>
      <c r="L11" s="22"/>
      <c r="M11" s="27" t="str">
        <f>groupReal!D6</f>
        <v>Netherlands</v>
      </c>
      <c r="N11" s="45">
        <f>groupReal!E6</f>
        <v>0</v>
      </c>
      <c r="O11" s="45">
        <f>groupReal!F6</f>
        <v>0</v>
      </c>
      <c r="P11" s="45">
        <f>groupReal!G6</f>
        <v>0</v>
      </c>
      <c r="Q11" s="45">
        <f>groupReal!H6</f>
        <v>0</v>
      </c>
      <c r="R11" s="45">
        <f>groupReal!I6</f>
        <v>0</v>
      </c>
      <c r="S11" s="22"/>
      <c r="T11" s="27" t="str">
        <f>groupReal!Y6</f>
        <v>Costa Rica</v>
      </c>
      <c r="U11" s="45">
        <f>groupReal!Z6</f>
        <v>0</v>
      </c>
      <c r="V11" s="45">
        <f>groupReal!AA6</f>
        <v>0</v>
      </c>
      <c r="W11" s="45">
        <f>groupReal!AB6</f>
        <v>0</v>
      </c>
      <c r="X11" s="45">
        <f>groupReal!AC6</f>
        <v>0</v>
      </c>
      <c r="Y11" s="45">
        <f>groupReal!AD6</f>
        <v>0</v>
      </c>
      <c r="Z11" s="22"/>
    </row>
    <row r="12" spans="2:27" ht="20.149999999999999" customHeight="1" thickBot="1" x14ac:dyDescent="0.4">
      <c r="B12" s="59"/>
      <c r="C12" s="23">
        <v>0.79166666666666663</v>
      </c>
      <c r="D12" s="23" t="str">
        <f>dataMatch!E10</f>
        <v>D</v>
      </c>
      <c r="E12" s="24" t="str">
        <f>dataMatch!F10</f>
        <v>France</v>
      </c>
      <c r="F12" s="31"/>
      <c r="G12" s="25" t="s">
        <v>103</v>
      </c>
      <c r="H12" s="31"/>
      <c r="I12" s="24" t="str">
        <f>dataMatch!G10</f>
        <v>Australia</v>
      </c>
      <c r="L12" s="22"/>
      <c r="M12" s="22"/>
      <c r="N12" s="22"/>
      <c r="O12" s="22"/>
      <c r="P12" s="22"/>
      <c r="Q12" s="22"/>
      <c r="R12" s="22"/>
      <c r="S12" s="22"/>
      <c r="T12" s="22"/>
      <c r="U12" s="22"/>
      <c r="V12" s="22"/>
      <c r="W12" s="22"/>
      <c r="X12" s="22"/>
      <c r="Y12" s="22"/>
      <c r="Z12" s="22"/>
    </row>
    <row r="13" spans="2:27" ht="20.149999999999999" customHeight="1" thickBot="1" x14ac:dyDescent="0.4">
      <c r="B13" s="58" t="s">
        <v>108</v>
      </c>
      <c r="C13" s="23">
        <v>0.41666666666666669</v>
      </c>
      <c r="D13" s="23" t="str">
        <f>dataMatch!E11</f>
        <v>F</v>
      </c>
      <c r="E13" s="24" t="str">
        <f>dataMatch!F11</f>
        <v>Morocco</v>
      </c>
      <c r="F13" s="31"/>
      <c r="G13" s="25" t="s">
        <v>103</v>
      </c>
      <c r="H13" s="31"/>
      <c r="I13" s="24" t="str">
        <f>dataMatch!G11</f>
        <v>Croatia</v>
      </c>
      <c r="L13" s="22"/>
      <c r="M13" s="61" t="s">
        <v>109</v>
      </c>
      <c r="N13" s="61"/>
      <c r="O13" s="61"/>
      <c r="P13" s="61"/>
      <c r="Q13" s="61"/>
      <c r="R13" s="61"/>
      <c r="S13" s="22"/>
      <c r="T13" s="61" t="s">
        <v>110</v>
      </c>
      <c r="U13" s="61"/>
      <c r="V13" s="61"/>
      <c r="W13" s="61"/>
      <c r="X13" s="61"/>
      <c r="Y13" s="61"/>
      <c r="Z13" s="22"/>
    </row>
    <row r="14" spans="2:27" ht="20.149999999999999" customHeight="1" thickTop="1" thickBot="1" x14ac:dyDescent="0.4">
      <c r="B14" s="58"/>
      <c r="C14" s="23">
        <v>0.54166666666666663</v>
      </c>
      <c r="D14" s="23" t="str">
        <f>dataMatch!E12</f>
        <v>E</v>
      </c>
      <c r="E14" s="24" t="str">
        <f>dataMatch!F12</f>
        <v>Germany</v>
      </c>
      <c r="F14" s="31"/>
      <c r="G14" s="25" t="s">
        <v>103</v>
      </c>
      <c r="H14" s="31"/>
      <c r="I14" s="24" t="str">
        <f>dataMatch!G12</f>
        <v>Japan</v>
      </c>
      <c r="L14" s="22"/>
      <c r="M14" s="26" t="s">
        <v>9</v>
      </c>
      <c r="N14" s="46" t="s">
        <v>10</v>
      </c>
      <c r="O14" s="46" t="s">
        <v>11</v>
      </c>
      <c r="P14" s="46" t="s">
        <v>12</v>
      </c>
      <c r="Q14" s="46" t="s">
        <v>13</v>
      </c>
      <c r="R14" s="46" t="s">
        <v>14</v>
      </c>
      <c r="S14" s="22"/>
      <c r="T14" s="26" t="s">
        <v>9</v>
      </c>
      <c r="U14" s="46" t="s">
        <v>10</v>
      </c>
      <c r="V14" s="46" t="s">
        <v>11</v>
      </c>
      <c r="W14" s="46" t="s">
        <v>12</v>
      </c>
      <c r="X14" s="46" t="s">
        <v>13</v>
      </c>
      <c r="Y14" s="46" t="s">
        <v>14</v>
      </c>
      <c r="Z14" s="22"/>
    </row>
    <row r="15" spans="2:27" ht="20.149999999999999" customHeight="1" thickBot="1" x14ac:dyDescent="0.4">
      <c r="B15" s="58"/>
      <c r="C15" s="23">
        <v>0.66666666666666663</v>
      </c>
      <c r="D15" s="23" t="str">
        <f>dataMatch!E13</f>
        <v>E</v>
      </c>
      <c r="E15" s="24" t="str">
        <f>dataMatch!F13</f>
        <v>Spain</v>
      </c>
      <c r="F15" s="31"/>
      <c r="G15" s="25" t="s">
        <v>103</v>
      </c>
      <c r="H15" s="31"/>
      <c r="I15" s="24" t="str">
        <f>dataMatch!G13</f>
        <v>Costa Rica</v>
      </c>
      <c r="L15" s="22"/>
      <c r="M15" s="27" t="str">
        <f>groupReal!D10</f>
        <v>England</v>
      </c>
      <c r="N15" s="45">
        <f>groupReal!E10</f>
        <v>0</v>
      </c>
      <c r="O15" s="45">
        <f>groupReal!F10</f>
        <v>0</v>
      </c>
      <c r="P15" s="45">
        <f>groupReal!G10</f>
        <v>0</v>
      </c>
      <c r="Q15" s="45">
        <f>groupReal!H10</f>
        <v>0</v>
      </c>
      <c r="R15" s="45">
        <f>groupReal!I10</f>
        <v>0</v>
      </c>
      <c r="S15" s="22"/>
      <c r="T15" s="27" t="str">
        <f>groupReal!Y10</f>
        <v>Belgium</v>
      </c>
      <c r="U15" s="45">
        <f>groupReal!Z10</f>
        <v>0</v>
      </c>
      <c r="V15" s="45">
        <f>groupReal!AA10</f>
        <v>0</v>
      </c>
      <c r="W15" s="45">
        <f>groupReal!AB10</f>
        <v>0</v>
      </c>
      <c r="X15" s="45">
        <f>groupReal!AC10</f>
        <v>0</v>
      </c>
      <c r="Y15" s="45">
        <f>groupReal!AD10</f>
        <v>0</v>
      </c>
      <c r="Z15" s="22"/>
    </row>
    <row r="16" spans="2:27" ht="20.149999999999999" customHeight="1" thickBot="1" x14ac:dyDescent="0.4">
      <c r="B16" s="58"/>
      <c r="C16" s="23">
        <v>0.79166666666666663</v>
      </c>
      <c r="D16" s="23" t="str">
        <f>dataMatch!E14</f>
        <v>F</v>
      </c>
      <c r="E16" s="24" t="str">
        <f>dataMatch!F14</f>
        <v>Belgium</v>
      </c>
      <c r="F16" s="31"/>
      <c r="G16" s="25" t="s">
        <v>103</v>
      </c>
      <c r="H16" s="31"/>
      <c r="I16" s="24" t="str">
        <f>dataMatch!G14</f>
        <v>Canada</v>
      </c>
      <c r="L16" s="22"/>
      <c r="M16" s="27" t="str">
        <f>groupReal!D11</f>
        <v>IR Iran</v>
      </c>
      <c r="N16" s="45">
        <f>groupReal!E11</f>
        <v>0</v>
      </c>
      <c r="O16" s="45">
        <f>groupReal!F11</f>
        <v>0</v>
      </c>
      <c r="P16" s="45">
        <f>groupReal!G11</f>
        <v>0</v>
      </c>
      <c r="Q16" s="45">
        <f>groupReal!H11</f>
        <v>0</v>
      </c>
      <c r="R16" s="45">
        <f>groupReal!I11</f>
        <v>0</v>
      </c>
      <c r="S16" s="22"/>
      <c r="T16" s="27" t="str">
        <f>groupReal!Y11</f>
        <v>Canada</v>
      </c>
      <c r="U16" s="45">
        <f>groupReal!Z11</f>
        <v>0</v>
      </c>
      <c r="V16" s="45">
        <f>groupReal!AA11</f>
        <v>0</v>
      </c>
      <c r="W16" s="45">
        <f>groupReal!AB11</f>
        <v>0</v>
      </c>
      <c r="X16" s="45">
        <f>groupReal!AC11</f>
        <v>0</v>
      </c>
      <c r="Y16" s="45">
        <f>groupReal!AD11</f>
        <v>0</v>
      </c>
      <c r="Z16" s="22"/>
    </row>
    <row r="17" spans="2:26" ht="20.149999999999999" customHeight="1" thickBot="1" x14ac:dyDescent="0.4">
      <c r="B17" s="59" t="s">
        <v>111</v>
      </c>
      <c r="C17" s="23">
        <v>0.41666666666666669</v>
      </c>
      <c r="D17" s="23" t="str">
        <f>dataMatch!E15</f>
        <v>G</v>
      </c>
      <c r="E17" s="24" t="str">
        <f>dataMatch!F15</f>
        <v>Switzerland</v>
      </c>
      <c r="F17" s="31"/>
      <c r="G17" s="25" t="s">
        <v>103</v>
      </c>
      <c r="H17" s="31"/>
      <c r="I17" s="24" t="str">
        <f>dataMatch!G15</f>
        <v>Cameroon</v>
      </c>
      <c r="L17" s="22"/>
      <c r="M17" s="27" t="str">
        <f>groupReal!D12</f>
        <v>USA</v>
      </c>
      <c r="N17" s="45">
        <f>groupReal!E12</f>
        <v>0</v>
      </c>
      <c r="O17" s="45">
        <f>groupReal!F12</f>
        <v>0</v>
      </c>
      <c r="P17" s="45">
        <f>groupReal!G12</f>
        <v>0</v>
      </c>
      <c r="Q17" s="45">
        <f>groupReal!H12</f>
        <v>0</v>
      </c>
      <c r="R17" s="45">
        <f>groupReal!I12</f>
        <v>0</v>
      </c>
      <c r="S17" s="22"/>
      <c r="T17" s="27" t="str">
        <f>groupReal!Y12</f>
        <v>Morocco</v>
      </c>
      <c r="U17" s="45">
        <f>groupReal!Z12</f>
        <v>0</v>
      </c>
      <c r="V17" s="45">
        <f>groupReal!AA12</f>
        <v>0</v>
      </c>
      <c r="W17" s="45">
        <f>groupReal!AB12</f>
        <v>0</v>
      </c>
      <c r="X17" s="45">
        <f>groupReal!AC12</f>
        <v>0</v>
      </c>
      <c r="Y17" s="45">
        <f>groupReal!AD12</f>
        <v>0</v>
      </c>
      <c r="Z17" s="22"/>
    </row>
    <row r="18" spans="2:26" ht="20.149999999999999" customHeight="1" thickBot="1" x14ac:dyDescent="0.4">
      <c r="B18" s="59"/>
      <c r="C18" s="23">
        <v>0.54166666666666663</v>
      </c>
      <c r="D18" s="23" t="str">
        <f>dataMatch!E16</f>
        <v>H</v>
      </c>
      <c r="E18" s="24" t="str">
        <f>dataMatch!F16</f>
        <v>Uruguay</v>
      </c>
      <c r="F18" s="31"/>
      <c r="G18" s="25" t="s">
        <v>103</v>
      </c>
      <c r="H18" s="31"/>
      <c r="I18" s="24" t="str">
        <f>dataMatch!G16</f>
        <v>Korea Republic</v>
      </c>
      <c r="L18" s="22"/>
      <c r="M18" s="27" t="str">
        <f>groupReal!D13</f>
        <v>Wales</v>
      </c>
      <c r="N18" s="45">
        <f>groupReal!E13</f>
        <v>0</v>
      </c>
      <c r="O18" s="45">
        <f>groupReal!F13</f>
        <v>0</v>
      </c>
      <c r="P18" s="45">
        <f>groupReal!G13</f>
        <v>0</v>
      </c>
      <c r="Q18" s="45">
        <f>groupReal!H13</f>
        <v>0</v>
      </c>
      <c r="R18" s="45">
        <f>groupReal!I13</f>
        <v>0</v>
      </c>
      <c r="S18" s="22"/>
      <c r="T18" s="27" t="str">
        <f>groupReal!Y13</f>
        <v>Croatia</v>
      </c>
      <c r="U18" s="45">
        <f>groupReal!Z13</f>
        <v>0</v>
      </c>
      <c r="V18" s="45">
        <f>groupReal!AA13</f>
        <v>0</v>
      </c>
      <c r="W18" s="45">
        <f>groupReal!AB13</f>
        <v>0</v>
      </c>
      <c r="X18" s="45">
        <f>groupReal!AC13</f>
        <v>0</v>
      </c>
      <c r="Y18" s="45">
        <f>groupReal!AD13</f>
        <v>0</v>
      </c>
      <c r="Z18" s="22"/>
    </row>
    <row r="19" spans="2:26" ht="20.149999999999999" customHeight="1" thickBot="1" x14ac:dyDescent="0.4">
      <c r="B19" s="59"/>
      <c r="C19" s="23">
        <v>0.66666666666666663</v>
      </c>
      <c r="D19" s="23" t="str">
        <f>dataMatch!E17</f>
        <v>H</v>
      </c>
      <c r="E19" s="24" t="str">
        <f>dataMatch!F17</f>
        <v>Portugal</v>
      </c>
      <c r="F19" s="31"/>
      <c r="G19" s="25" t="s">
        <v>103</v>
      </c>
      <c r="H19" s="31"/>
      <c r="I19" s="24" t="str">
        <f>dataMatch!G17</f>
        <v>Ghana</v>
      </c>
      <c r="L19" s="22"/>
      <c r="M19" s="22"/>
      <c r="N19" s="22"/>
      <c r="O19" s="22"/>
      <c r="P19" s="22"/>
      <c r="Q19" s="22"/>
      <c r="R19" s="22"/>
      <c r="S19" s="22"/>
      <c r="T19" s="22"/>
      <c r="U19" s="22"/>
      <c r="V19" s="22"/>
      <c r="W19" s="22"/>
      <c r="X19" s="22"/>
      <c r="Y19" s="22"/>
      <c r="Z19" s="22"/>
    </row>
    <row r="20" spans="2:26" ht="20.149999999999999" customHeight="1" thickBot="1" x14ac:dyDescent="0.4">
      <c r="B20" s="59"/>
      <c r="C20" s="23">
        <v>0.79166666666666663</v>
      </c>
      <c r="D20" s="23" t="str">
        <f>dataMatch!E18</f>
        <v>G</v>
      </c>
      <c r="E20" s="24" t="str">
        <f>dataMatch!F18</f>
        <v>Brazil</v>
      </c>
      <c r="F20" s="31"/>
      <c r="G20" s="25" t="s">
        <v>103</v>
      </c>
      <c r="H20" s="31"/>
      <c r="I20" s="24" t="str">
        <f>dataMatch!G18</f>
        <v>Serbia</v>
      </c>
      <c r="L20" s="22"/>
      <c r="M20" s="61" t="s">
        <v>112</v>
      </c>
      <c r="N20" s="61"/>
      <c r="O20" s="61"/>
      <c r="P20" s="61"/>
      <c r="Q20" s="61"/>
      <c r="R20" s="61"/>
      <c r="S20" s="22"/>
      <c r="T20" s="61" t="s">
        <v>113</v>
      </c>
      <c r="U20" s="61"/>
      <c r="V20" s="61"/>
      <c r="W20" s="61"/>
      <c r="X20" s="61"/>
      <c r="Y20" s="61"/>
      <c r="Z20" s="22"/>
    </row>
    <row r="21" spans="2:26" ht="20.149999999999999" customHeight="1" thickTop="1" thickBot="1" x14ac:dyDescent="0.4">
      <c r="B21" s="58" t="s">
        <v>114</v>
      </c>
      <c r="C21" s="23">
        <v>0.41666666666666669</v>
      </c>
      <c r="D21" s="23" t="str">
        <f>dataMatch!E19</f>
        <v>B</v>
      </c>
      <c r="E21" s="24" t="str">
        <f>dataMatch!F19</f>
        <v>Wales</v>
      </c>
      <c r="F21" s="31"/>
      <c r="G21" s="25" t="s">
        <v>103</v>
      </c>
      <c r="H21" s="31"/>
      <c r="I21" s="24" t="str">
        <f>dataMatch!G19</f>
        <v>IR Iran</v>
      </c>
      <c r="L21" s="22"/>
      <c r="M21" s="26" t="s">
        <v>9</v>
      </c>
      <c r="N21" s="46" t="s">
        <v>10</v>
      </c>
      <c r="O21" s="46" t="s">
        <v>11</v>
      </c>
      <c r="P21" s="46" t="s">
        <v>12</v>
      </c>
      <c r="Q21" s="46" t="s">
        <v>13</v>
      </c>
      <c r="R21" s="46" t="s">
        <v>14</v>
      </c>
      <c r="S21" s="22"/>
      <c r="T21" s="26" t="s">
        <v>9</v>
      </c>
      <c r="U21" s="46" t="s">
        <v>10</v>
      </c>
      <c r="V21" s="46" t="s">
        <v>11</v>
      </c>
      <c r="W21" s="46" t="s">
        <v>12</v>
      </c>
      <c r="X21" s="46" t="s">
        <v>13</v>
      </c>
      <c r="Y21" s="46" t="s">
        <v>14</v>
      </c>
      <c r="Z21" s="22"/>
    </row>
    <row r="22" spans="2:26" ht="20.149999999999999" customHeight="1" thickBot="1" x14ac:dyDescent="0.4">
      <c r="B22" s="58"/>
      <c r="C22" s="23">
        <v>0.54166666666666663</v>
      </c>
      <c r="D22" s="23" t="str">
        <f>dataMatch!E20</f>
        <v>A</v>
      </c>
      <c r="E22" s="24" t="str">
        <f>dataMatch!F20</f>
        <v>Qatar</v>
      </c>
      <c r="F22" s="31"/>
      <c r="G22" s="25" t="s">
        <v>103</v>
      </c>
      <c r="H22" s="31"/>
      <c r="I22" s="24" t="str">
        <f>dataMatch!G20</f>
        <v>Senegal</v>
      </c>
      <c r="L22" s="22"/>
      <c r="M22" s="27" t="str">
        <f>groupReal!D17</f>
        <v>Argentina</v>
      </c>
      <c r="N22" s="45">
        <f>groupReal!E17</f>
        <v>0</v>
      </c>
      <c r="O22" s="45">
        <f>groupReal!F17</f>
        <v>0</v>
      </c>
      <c r="P22" s="45">
        <f>groupReal!G17</f>
        <v>0</v>
      </c>
      <c r="Q22" s="45">
        <f>groupReal!H17</f>
        <v>0</v>
      </c>
      <c r="R22" s="45">
        <f>groupReal!I17</f>
        <v>0</v>
      </c>
      <c r="S22" s="22"/>
      <c r="T22" s="27" t="str">
        <f>groupReal!Y17</f>
        <v>Brazil</v>
      </c>
      <c r="U22" s="45">
        <f>groupReal!Z17</f>
        <v>0</v>
      </c>
      <c r="V22" s="45">
        <f>groupReal!AA17</f>
        <v>0</v>
      </c>
      <c r="W22" s="45">
        <f>groupReal!AB17</f>
        <v>0</v>
      </c>
      <c r="X22" s="45">
        <f>groupReal!AC17</f>
        <v>0</v>
      </c>
      <c r="Y22" s="45">
        <f>groupReal!AD17</f>
        <v>0</v>
      </c>
      <c r="Z22" s="22"/>
    </row>
    <row r="23" spans="2:26" ht="20.149999999999999" customHeight="1" thickBot="1" x14ac:dyDescent="0.4">
      <c r="B23" s="58"/>
      <c r="C23" s="23">
        <v>0.66666666666666663</v>
      </c>
      <c r="D23" s="23" t="str">
        <f>dataMatch!E21</f>
        <v>A</v>
      </c>
      <c r="E23" s="24" t="str">
        <f>dataMatch!F21</f>
        <v>Netherlands</v>
      </c>
      <c r="F23" s="31"/>
      <c r="G23" s="25" t="s">
        <v>103</v>
      </c>
      <c r="H23" s="31"/>
      <c r="I23" s="24" t="str">
        <f>dataMatch!G21</f>
        <v>Ecuador</v>
      </c>
      <c r="L23" s="22"/>
      <c r="M23" s="27" t="str">
        <f>groupReal!D18</f>
        <v>Saudi Arabia</v>
      </c>
      <c r="N23" s="45">
        <f>groupReal!E18</f>
        <v>0</v>
      </c>
      <c r="O23" s="45">
        <f>groupReal!F18</f>
        <v>0</v>
      </c>
      <c r="P23" s="45">
        <f>groupReal!G18</f>
        <v>0</v>
      </c>
      <c r="Q23" s="45">
        <f>groupReal!H18</f>
        <v>0</v>
      </c>
      <c r="R23" s="45">
        <f>groupReal!I18</f>
        <v>0</v>
      </c>
      <c r="S23" s="22"/>
      <c r="T23" s="27" t="str">
        <f>groupReal!Y18</f>
        <v>Serbia</v>
      </c>
      <c r="U23" s="45">
        <f>groupReal!Z18</f>
        <v>0</v>
      </c>
      <c r="V23" s="45">
        <f>groupReal!AA18</f>
        <v>0</v>
      </c>
      <c r="W23" s="45">
        <f>groupReal!AB18</f>
        <v>0</v>
      </c>
      <c r="X23" s="45">
        <f>groupReal!AC18</f>
        <v>0</v>
      </c>
      <c r="Y23" s="45">
        <f>groupReal!AD18</f>
        <v>0</v>
      </c>
      <c r="Z23" s="22"/>
    </row>
    <row r="24" spans="2:26" ht="20.149999999999999" customHeight="1" thickBot="1" x14ac:dyDescent="0.4">
      <c r="B24" s="58"/>
      <c r="C24" s="23">
        <v>0.79166666666666663</v>
      </c>
      <c r="D24" s="23" t="str">
        <f>dataMatch!E22</f>
        <v>B</v>
      </c>
      <c r="E24" s="24" t="str">
        <f>dataMatch!F22</f>
        <v>England</v>
      </c>
      <c r="F24" s="31"/>
      <c r="G24" s="25" t="s">
        <v>103</v>
      </c>
      <c r="H24" s="31"/>
      <c r="I24" s="24" t="str">
        <f>dataMatch!G22</f>
        <v>USA</v>
      </c>
      <c r="L24" s="22"/>
      <c r="M24" s="27" t="str">
        <f>groupReal!D19</f>
        <v>Mexico</v>
      </c>
      <c r="N24" s="45">
        <f>groupReal!E19</f>
        <v>0</v>
      </c>
      <c r="O24" s="45">
        <f>groupReal!F19</f>
        <v>0</v>
      </c>
      <c r="P24" s="45">
        <f>groupReal!G19</f>
        <v>0</v>
      </c>
      <c r="Q24" s="45">
        <f>groupReal!H19</f>
        <v>0</v>
      </c>
      <c r="R24" s="45">
        <f>groupReal!I19</f>
        <v>0</v>
      </c>
      <c r="S24" s="22"/>
      <c r="T24" s="27" t="str">
        <f>groupReal!Y19</f>
        <v>Switzerland</v>
      </c>
      <c r="U24" s="45">
        <f>groupReal!Z19</f>
        <v>0</v>
      </c>
      <c r="V24" s="45">
        <f>groupReal!AA19</f>
        <v>0</v>
      </c>
      <c r="W24" s="45">
        <f>groupReal!AB19</f>
        <v>0</v>
      </c>
      <c r="X24" s="45">
        <f>groupReal!AC19</f>
        <v>0</v>
      </c>
      <c r="Y24" s="45">
        <f>groupReal!AD19</f>
        <v>0</v>
      </c>
      <c r="Z24" s="22"/>
    </row>
    <row r="25" spans="2:26" ht="20.149999999999999" customHeight="1" thickBot="1" x14ac:dyDescent="0.4">
      <c r="B25" s="59" t="s">
        <v>115</v>
      </c>
      <c r="C25" s="23">
        <v>0.41666666666666669</v>
      </c>
      <c r="D25" s="23" t="str">
        <f>dataMatch!E23</f>
        <v>D</v>
      </c>
      <c r="E25" s="24" t="str">
        <f>dataMatch!F23</f>
        <v>Tunisia</v>
      </c>
      <c r="F25" s="31"/>
      <c r="G25" s="25" t="s">
        <v>103</v>
      </c>
      <c r="H25" s="31"/>
      <c r="I25" s="24" t="str">
        <f>dataMatch!G23</f>
        <v>Australia</v>
      </c>
      <c r="L25" s="22"/>
      <c r="M25" s="27" t="str">
        <f>groupReal!D20</f>
        <v>Poland</v>
      </c>
      <c r="N25" s="45">
        <f>groupReal!E20</f>
        <v>0</v>
      </c>
      <c r="O25" s="45">
        <f>groupReal!F20</f>
        <v>0</v>
      </c>
      <c r="P25" s="45">
        <f>groupReal!G20</f>
        <v>0</v>
      </c>
      <c r="Q25" s="45">
        <f>groupReal!H20</f>
        <v>0</v>
      </c>
      <c r="R25" s="45">
        <f>groupReal!I20</f>
        <v>0</v>
      </c>
      <c r="S25" s="22"/>
      <c r="T25" s="27" t="str">
        <f>groupReal!Y20</f>
        <v>Cameroon</v>
      </c>
      <c r="U25" s="45">
        <f>groupReal!Z20</f>
        <v>0</v>
      </c>
      <c r="V25" s="45">
        <f>groupReal!AA20</f>
        <v>0</v>
      </c>
      <c r="W25" s="45">
        <f>groupReal!AB20</f>
        <v>0</v>
      </c>
      <c r="X25" s="45">
        <f>groupReal!AC20</f>
        <v>0</v>
      </c>
      <c r="Y25" s="45">
        <f>groupReal!AD20</f>
        <v>0</v>
      </c>
      <c r="Z25" s="22"/>
    </row>
    <row r="26" spans="2:26" ht="20.149999999999999" customHeight="1" thickBot="1" x14ac:dyDescent="0.4">
      <c r="B26" s="59"/>
      <c r="C26" s="23">
        <v>0.54166666666666663</v>
      </c>
      <c r="D26" s="23" t="str">
        <f>dataMatch!E24</f>
        <v>C</v>
      </c>
      <c r="E26" s="24" t="str">
        <f>dataMatch!F24</f>
        <v>Poland</v>
      </c>
      <c r="F26" s="31"/>
      <c r="G26" s="25" t="s">
        <v>103</v>
      </c>
      <c r="H26" s="31"/>
      <c r="I26" s="24" t="str">
        <f>dataMatch!G24</f>
        <v>Saudi Arabia</v>
      </c>
      <c r="L26" s="22"/>
      <c r="M26" s="22"/>
      <c r="N26" s="22"/>
      <c r="O26" s="22"/>
      <c r="P26" s="22"/>
      <c r="Q26" s="22"/>
      <c r="R26" s="22"/>
      <c r="S26" s="22"/>
      <c r="T26" s="22"/>
      <c r="U26" s="22"/>
      <c r="V26" s="22"/>
      <c r="W26" s="22"/>
      <c r="X26" s="22"/>
      <c r="Y26" s="22"/>
      <c r="Z26" s="22"/>
    </row>
    <row r="27" spans="2:26" ht="20.149999999999999" customHeight="1" thickBot="1" x14ac:dyDescent="0.4">
      <c r="B27" s="59"/>
      <c r="C27" s="23">
        <v>0.66666666666666663</v>
      </c>
      <c r="D27" s="23" t="str">
        <f>dataMatch!E25</f>
        <v>D</v>
      </c>
      <c r="E27" s="24" t="str">
        <f>dataMatch!F25</f>
        <v>France</v>
      </c>
      <c r="F27" s="31"/>
      <c r="G27" s="25" t="s">
        <v>103</v>
      </c>
      <c r="H27" s="31"/>
      <c r="I27" s="24" t="str">
        <f>dataMatch!G25</f>
        <v>Denmark</v>
      </c>
      <c r="L27" s="22"/>
      <c r="M27" s="61" t="s">
        <v>116</v>
      </c>
      <c r="N27" s="61"/>
      <c r="O27" s="61"/>
      <c r="P27" s="61"/>
      <c r="Q27" s="61"/>
      <c r="R27" s="61"/>
      <c r="S27" s="22"/>
      <c r="T27" s="61" t="s">
        <v>117</v>
      </c>
      <c r="U27" s="61"/>
      <c r="V27" s="61"/>
      <c r="W27" s="61"/>
      <c r="X27" s="61"/>
      <c r="Y27" s="61"/>
      <c r="Z27" s="22"/>
    </row>
    <row r="28" spans="2:26" ht="20.149999999999999" customHeight="1" thickTop="1" thickBot="1" x14ac:dyDescent="0.4">
      <c r="B28" s="59"/>
      <c r="C28" s="23">
        <v>0.79166666666666663</v>
      </c>
      <c r="D28" s="23" t="str">
        <f>dataMatch!E26</f>
        <v>C</v>
      </c>
      <c r="E28" s="24" t="str">
        <f>dataMatch!F26</f>
        <v>Argentina</v>
      </c>
      <c r="F28" s="31"/>
      <c r="G28" s="25" t="s">
        <v>103</v>
      </c>
      <c r="H28" s="31"/>
      <c r="I28" s="24" t="str">
        <f>dataMatch!G26</f>
        <v>Mexico</v>
      </c>
      <c r="L28" s="22"/>
      <c r="M28" s="26" t="s">
        <v>9</v>
      </c>
      <c r="N28" s="46" t="s">
        <v>10</v>
      </c>
      <c r="O28" s="46" t="s">
        <v>11</v>
      </c>
      <c r="P28" s="46" t="s">
        <v>12</v>
      </c>
      <c r="Q28" s="46" t="s">
        <v>13</v>
      </c>
      <c r="R28" s="46" t="s">
        <v>14</v>
      </c>
      <c r="S28" s="22"/>
      <c r="T28" s="26" t="s">
        <v>9</v>
      </c>
      <c r="U28" s="46" t="s">
        <v>10</v>
      </c>
      <c r="V28" s="46" t="s">
        <v>11</v>
      </c>
      <c r="W28" s="46" t="s">
        <v>12</v>
      </c>
      <c r="X28" s="46" t="s">
        <v>13</v>
      </c>
      <c r="Y28" s="46" t="s">
        <v>14</v>
      </c>
      <c r="Z28" s="22"/>
    </row>
    <row r="29" spans="2:26" ht="20.149999999999999" customHeight="1" thickBot="1" x14ac:dyDescent="0.4">
      <c r="B29" s="58" t="s">
        <v>118</v>
      </c>
      <c r="C29" s="23">
        <v>0.41666666666666669</v>
      </c>
      <c r="D29" s="23" t="str">
        <f>dataMatch!E27</f>
        <v>E</v>
      </c>
      <c r="E29" s="24" t="str">
        <f>dataMatch!F27</f>
        <v>Japan</v>
      </c>
      <c r="F29" s="31"/>
      <c r="G29" s="25" t="s">
        <v>103</v>
      </c>
      <c r="H29" s="31"/>
      <c r="I29" s="24" t="str">
        <f>dataMatch!G27</f>
        <v>Costa Rica</v>
      </c>
      <c r="L29" s="22"/>
      <c r="M29" s="27" t="str">
        <f>groupReal!D24</f>
        <v>France</v>
      </c>
      <c r="N29" s="45">
        <f>groupReal!E24</f>
        <v>0</v>
      </c>
      <c r="O29" s="45">
        <f>groupReal!F24</f>
        <v>0</v>
      </c>
      <c r="P29" s="45">
        <f>groupReal!G24</f>
        <v>0</v>
      </c>
      <c r="Q29" s="45">
        <f>groupReal!H24</f>
        <v>0</v>
      </c>
      <c r="R29" s="45">
        <f>groupReal!I24</f>
        <v>0</v>
      </c>
      <c r="S29" s="22"/>
      <c r="T29" s="27" t="str">
        <f>groupReal!Y24</f>
        <v>Portugal</v>
      </c>
      <c r="U29" s="45">
        <f>groupReal!Z24</f>
        <v>0</v>
      </c>
      <c r="V29" s="45">
        <f>groupReal!AA24</f>
        <v>0</v>
      </c>
      <c r="W29" s="45">
        <f>groupReal!AB24</f>
        <v>0</v>
      </c>
      <c r="X29" s="45">
        <f>groupReal!AC24</f>
        <v>0</v>
      </c>
      <c r="Y29" s="45">
        <f>groupReal!AD24</f>
        <v>0</v>
      </c>
      <c r="Z29" s="22"/>
    </row>
    <row r="30" spans="2:26" ht="20.149999999999999" customHeight="1" thickBot="1" x14ac:dyDescent="0.4">
      <c r="B30" s="58"/>
      <c r="C30" s="23">
        <v>0.54166666666666663</v>
      </c>
      <c r="D30" s="23" t="str">
        <f>dataMatch!E28</f>
        <v>F</v>
      </c>
      <c r="E30" s="24" t="str">
        <f>dataMatch!F28</f>
        <v>Belgium</v>
      </c>
      <c r="F30" s="31"/>
      <c r="G30" s="25" t="s">
        <v>103</v>
      </c>
      <c r="H30" s="31"/>
      <c r="I30" s="24" t="str">
        <f>dataMatch!G28</f>
        <v>Morocco</v>
      </c>
      <c r="L30" s="22"/>
      <c r="M30" s="27" t="str">
        <f>groupReal!D25</f>
        <v>Denmark</v>
      </c>
      <c r="N30" s="45">
        <f>groupReal!E25</f>
        <v>0</v>
      </c>
      <c r="O30" s="45">
        <f>groupReal!F25</f>
        <v>0</v>
      </c>
      <c r="P30" s="45">
        <f>groupReal!G25</f>
        <v>0</v>
      </c>
      <c r="Q30" s="45">
        <f>groupReal!H25</f>
        <v>0</v>
      </c>
      <c r="R30" s="45">
        <f>groupReal!I25</f>
        <v>0</v>
      </c>
      <c r="S30" s="22"/>
      <c r="T30" s="27" t="str">
        <f>groupReal!Y25</f>
        <v>Ghana</v>
      </c>
      <c r="U30" s="45">
        <f>groupReal!Z25</f>
        <v>0</v>
      </c>
      <c r="V30" s="45">
        <f>groupReal!AA25</f>
        <v>0</v>
      </c>
      <c r="W30" s="45">
        <f>groupReal!AB25</f>
        <v>0</v>
      </c>
      <c r="X30" s="45">
        <f>groupReal!AC25</f>
        <v>0</v>
      </c>
      <c r="Y30" s="45">
        <f>groupReal!AD25</f>
        <v>0</v>
      </c>
      <c r="Z30" s="22"/>
    </row>
    <row r="31" spans="2:26" ht="20.149999999999999" customHeight="1" thickBot="1" x14ac:dyDescent="0.4">
      <c r="B31" s="58"/>
      <c r="C31" s="23">
        <v>0.66666666666666663</v>
      </c>
      <c r="D31" s="23" t="str">
        <f>dataMatch!E29</f>
        <v>F</v>
      </c>
      <c r="E31" s="24" t="str">
        <f>dataMatch!F29</f>
        <v>Croatia</v>
      </c>
      <c r="F31" s="31"/>
      <c r="G31" s="25" t="s">
        <v>103</v>
      </c>
      <c r="H31" s="31"/>
      <c r="I31" s="24" t="str">
        <f>dataMatch!G29</f>
        <v>Canada</v>
      </c>
      <c r="L31" s="22"/>
      <c r="M31" s="27" t="str">
        <f>groupReal!D26</f>
        <v>Tunisia</v>
      </c>
      <c r="N31" s="45">
        <f>groupReal!E26</f>
        <v>0</v>
      </c>
      <c r="O31" s="45">
        <f>groupReal!F26</f>
        <v>0</v>
      </c>
      <c r="P31" s="45">
        <f>groupReal!G26</f>
        <v>0</v>
      </c>
      <c r="Q31" s="45">
        <f>groupReal!H26</f>
        <v>0</v>
      </c>
      <c r="R31" s="45">
        <f>groupReal!I26</f>
        <v>0</v>
      </c>
      <c r="S31" s="22"/>
      <c r="T31" s="27" t="str">
        <f>groupReal!Y26</f>
        <v>Uruguay</v>
      </c>
      <c r="U31" s="45">
        <f>groupReal!Z26</f>
        <v>0</v>
      </c>
      <c r="V31" s="45">
        <f>groupReal!AA26</f>
        <v>0</v>
      </c>
      <c r="W31" s="45">
        <f>groupReal!AB26</f>
        <v>0</v>
      </c>
      <c r="X31" s="45">
        <f>groupReal!AC26</f>
        <v>0</v>
      </c>
      <c r="Y31" s="45">
        <f>groupReal!AD26</f>
        <v>0</v>
      </c>
      <c r="Z31" s="22"/>
    </row>
    <row r="32" spans="2:26" ht="20.149999999999999" customHeight="1" thickBot="1" x14ac:dyDescent="0.4">
      <c r="B32" s="58"/>
      <c r="C32" s="23">
        <v>0.79166666666666663</v>
      </c>
      <c r="D32" s="23" t="str">
        <f>dataMatch!E30</f>
        <v>E</v>
      </c>
      <c r="E32" s="24" t="str">
        <f>dataMatch!F30</f>
        <v>Spain</v>
      </c>
      <c r="F32" s="31"/>
      <c r="G32" s="25" t="s">
        <v>103</v>
      </c>
      <c r="H32" s="31"/>
      <c r="I32" s="24" t="str">
        <f>dataMatch!G30</f>
        <v>Germany</v>
      </c>
      <c r="L32" s="22"/>
      <c r="M32" s="27" t="str">
        <f>groupReal!D27</f>
        <v>Australia</v>
      </c>
      <c r="N32" s="45">
        <f>groupReal!E27</f>
        <v>0</v>
      </c>
      <c r="O32" s="45">
        <f>groupReal!F27</f>
        <v>0</v>
      </c>
      <c r="P32" s="45">
        <f>groupReal!G27</f>
        <v>0</v>
      </c>
      <c r="Q32" s="45">
        <f>groupReal!H27</f>
        <v>0</v>
      </c>
      <c r="R32" s="45">
        <f>groupReal!I27</f>
        <v>0</v>
      </c>
      <c r="S32" s="22"/>
      <c r="T32" s="27" t="str">
        <f>groupReal!Y27</f>
        <v>Korea Republic</v>
      </c>
      <c r="U32" s="45">
        <f>groupReal!Z27</f>
        <v>0</v>
      </c>
      <c r="V32" s="45">
        <f>groupReal!AA27</f>
        <v>0</v>
      </c>
      <c r="W32" s="45">
        <f>groupReal!AB27</f>
        <v>0</v>
      </c>
      <c r="X32" s="45">
        <f>groupReal!AC27</f>
        <v>0</v>
      </c>
      <c r="Y32" s="45">
        <f>groupReal!AD27</f>
        <v>0</v>
      </c>
      <c r="Z32" s="22"/>
    </row>
    <row r="33" spans="2:26" ht="20.149999999999999" customHeight="1" thickBot="1" x14ac:dyDescent="0.4">
      <c r="B33" s="59" t="s">
        <v>119</v>
      </c>
      <c r="C33" s="23">
        <v>0.41666666666666669</v>
      </c>
      <c r="D33" s="23" t="str">
        <f>dataMatch!E31</f>
        <v>G</v>
      </c>
      <c r="E33" s="24" t="str">
        <f>dataMatch!F31</f>
        <v>Cameroon</v>
      </c>
      <c r="F33" s="31"/>
      <c r="G33" s="25" t="s">
        <v>103</v>
      </c>
      <c r="H33" s="31"/>
      <c r="I33" s="24" t="str">
        <f>dataMatch!G31</f>
        <v>Serbia</v>
      </c>
      <c r="L33" s="22"/>
      <c r="M33" s="22"/>
      <c r="N33" s="22"/>
      <c r="O33" s="22"/>
      <c r="P33" s="22"/>
      <c r="Q33" s="22"/>
      <c r="R33" s="22"/>
      <c r="S33" s="22"/>
      <c r="T33" s="22"/>
      <c r="U33" s="22"/>
      <c r="V33" s="22"/>
      <c r="W33" s="22"/>
      <c r="X33" s="22"/>
      <c r="Y33" s="22"/>
      <c r="Z33" s="22"/>
    </row>
    <row r="34" spans="2:26" ht="20.149999999999999" customHeight="1" thickBot="1" x14ac:dyDescent="0.4">
      <c r="B34" s="59"/>
      <c r="C34" s="23">
        <v>0.54166666666666663</v>
      </c>
      <c r="D34" s="23" t="str">
        <f>dataMatch!E32</f>
        <v>H</v>
      </c>
      <c r="E34" s="24" t="str">
        <f>dataMatch!F32</f>
        <v>Korea Republic</v>
      </c>
      <c r="F34" s="31"/>
      <c r="G34" s="25" t="s">
        <v>103</v>
      </c>
      <c r="H34" s="31"/>
      <c r="I34" s="24" t="str">
        <f>dataMatch!G32</f>
        <v>Ghana</v>
      </c>
    </row>
    <row r="35" spans="2:26" ht="20.149999999999999" customHeight="1" thickBot="1" x14ac:dyDescent="0.4">
      <c r="B35" s="59"/>
      <c r="C35" s="23">
        <v>0.66666666666666663</v>
      </c>
      <c r="D35" s="23" t="str">
        <f>dataMatch!E33</f>
        <v>G</v>
      </c>
      <c r="E35" s="24" t="str">
        <f>dataMatch!F33</f>
        <v>Brazil</v>
      </c>
      <c r="F35" s="31"/>
      <c r="G35" s="25" t="s">
        <v>103</v>
      </c>
      <c r="H35" s="31"/>
      <c r="I35" s="24" t="str">
        <f>dataMatch!G33</f>
        <v>Switzerland</v>
      </c>
    </row>
    <row r="36" spans="2:26" ht="20.149999999999999" customHeight="1" thickBot="1" x14ac:dyDescent="0.4">
      <c r="B36" s="59"/>
      <c r="C36" s="23">
        <v>0.79166666666666663</v>
      </c>
      <c r="D36" s="23" t="str">
        <f>dataMatch!E34</f>
        <v>H</v>
      </c>
      <c r="E36" s="24" t="str">
        <f>dataMatch!F34</f>
        <v>Portugal</v>
      </c>
      <c r="F36" s="31"/>
      <c r="G36" s="25" t="s">
        <v>103</v>
      </c>
      <c r="H36" s="31"/>
      <c r="I36" s="24" t="str">
        <f>dataMatch!G34</f>
        <v>Uruguay</v>
      </c>
    </row>
    <row r="37" spans="2:26" ht="20.149999999999999" customHeight="1" thickBot="1" x14ac:dyDescent="0.4">
      <c r="B37" s="58" t="s">
        <v>120</v>
      </c>
      <c r="C37" s="23">
        <v>0.625</v>
      </c>
      <c r="D37" s="23" t="str">
        <f>dataMatch!E35</f>
        <v>A</v>
      </c>
      <c r="E37" s="24" t="str">
        <f>dataMatch!F35</f>
        <v>Ecuador</v>
      </c>
      <c r="F37" s="31"/>
      <c r="G37" s="25" t="s">
        <v>103</v>
      </c>
      <c r="H37" s="31"/>
      <c r="I37" s="24" t="str">
        <f>dataMatch!G35</f>
        <v>Senegal</v>
      </c>
    </row>
    <row r="38" spans="2:26" ht="20.149999999999999" customHeight="1" thickBot="1" x14ac:dyDescent="0.4">
      <c r="B38" s="58"/>
      <c r="C38" s="23">
        <v>0.625</v>
      </c>
      <c r="D38" s="23" t="str">
        <f>dataMatch!E36</f>
        <v>A</v>
      </c>
      <c r="E38" s="24" t="str">
        <f>dataMatch!F36</f>
        <v>Netherlands</v>
      </c>
      <c r="F38" s="31"/>
      <c r="G38" s="25" t="s">
        <v>103</v>
      </c>
      <c r="H38" s="31"/>
      <c r="I38" s="24" t="str">
        <f>dataMatch!G36</f>
        <v>Qatar</v>
      </c>
    </row>
    <row r="39" spans="2:26" ht="20.149999999999999" customHeight="1" thickBot="1" x14ac:dyDescent="0.4">
      <c r="B39" s="58"/>
      <c r="C39" s="23">
        <v>0.79166666666666663</v>
      </c>
      <c r="D39" s="23" t="str">
        <f>dataMatch!E37</f>
        <v>B</v>
      </c>
      <c r="E39" s="24" t="str">
        <f>dataMatch!F37</f>
        <v>Wales</v>
      </c>
      <c r="F39" s="31"/>
      <c r="G39" s="25" t="s">
        <v>103</v>
      </c>
      <c r="H39" s="31"/>
      <c r="I39" s="24" t="str">
        <f>dataMatch!G37</f>
        <v>England</v>
      </c>
    </row>
    <row r="40" spans="2:26" ht="20.149999999999999" customHeight="1" thickBot="1" x14ac:dyDescent="0.4">
      <c r="B40" s="58"/>
      <c r="C40" s="23">
        <v>0.79166666666666663</v>
      </c>
      <c r="D40" s="23" t="str">
        <f>dataMatch!E38</f>
        <v>B</v>
      </c>
      <c r="E40" s="24" t="str">
        <f>dataMatch!F38</f>
        <v>IR Iran</v>
      </c>
      <c r="F40" s="31"/>
      <c r="G40" s="25" t="s">
        <v>103</v>
      </c>
      <c r="H40" s="31"/>
      <c r="I40" s="24" t="str">
        <f>dataMatch!G38</f>
        <v>USA</v>
      </c>
    </row>
    <row r="41" spans="2:26" ht="20.149999999999999" customHeight="1" thickBot="1" x14ac:dyDescent="0.4">
      <c r="B41" s="59" t="s">
        <v>121</v>
      </c>
      <c r="C41" s="23">
        <v>0.625</v>
      </c>
      <c r="D41" s="23" t="str">
        <f>dataMatch!E39</f>
        <v>D</v>
      </c>
      <c r="E41" s="24" t="str">
        <f>dataMatch!F39</f>
        <v>Australia</v>
      </c>
      <c r="F41" s="31"/>
      <c r="G41" s="25" t="s">
        <v>103</v>
      </c>
      <c r="H41" s="31"/>
      <c r="I41" s="24" t="str">
        <f>dataMatch!G39</f>
        <v>Denmark</v>
      </c>
    </row>
    <row r="42" spans="2:26" ht="20.149999999999999" customHeight="1" thickBot="1" x14ac:dyDescent="0.4">
      <c r="B42" s="59"/>
      <c r="C42" s="23">
        <v>0.625</v>
      </c>
      <c r="D42" s="23" t="str">
        <f>dataMatch!E40</f>
        <v>D</v>
      </c>
      <c r="E42" s="24" t="str">
        <f>dataMatch!F40</f>
        <v>Tunisia</v>
      </c>
      <c r="F42" s="31"/>
      <c r="G42" s="25" t="s">
        <v>103</v>
      </c>
      <c r="H42" s="31"/>
      <c r="I42" s="24" t="str">
        <f>dataMatch!G40</f>
        <v>France</v>
      </c>
    </row>
    <row r="43" spans="2:26" ht="20.149999999999999" customHeight="1" thickBot="1" x14ac:dyDescent="0.4">
      <c r="B43" s="59"/>
      <c r="C43" s="23">
        <v>0.79166666666666663</v>
      </c>
      <c r="D43" s="23" t="str">
        <f>dataMatch!E41</f>
        <v>C</v>
      </c>
      <c r="E43" s="24" t="str">
        <f>dataMatch!F41</f>
        <v>Poland</v>
      </c>
      <c r="F43" s="31"/>
      <c r="G43" s="25" t="s">
        <v>103</v>
      </c>
      <c r="H43" s="31"/>
      <c r="I43" s="24" t="str">
        <f>dataMatch!G41</f>
        <v>Argentina</v>
      </c>
    </row>
    <row r="44" spans="2:26" ht="20.149999999999999" customHeight="1" thickBot="1" x14ac:dyDescent="0.4">
      <c r="B44" s="59"/>
      <c r="C44" s="23">
        <v>0.79166666666666663</v>
      </c>
      <c r="D44" s="23" t="str">
        <f>dataMatch!E42</f>
        <v>C</v>
      </c>
      <c r="E44" s="24" t="str">
        <f>dataMatch!F42</f>
        <v>Saudi Arabia</v>
      </c>
      <c r="F44" s="31"/>
      <c r="G44" s="25" t="s">
        <v>103</v>
      </c>
      <c r="H44" s="31"/>
      <c r="I44" s="24" t="str">
        <f>dataMatch!G42</f>
        <v>Mexico</v>
      </c>
    </row>
    <row r="45" spans="2:26" ht="20.149999999999999" customHeight="1" thickBot="1" x14ac:dyDescent="0.4">
      <c r="B45" s="58" t="s">
        <v>122</v>
      </c>
      <c r="C45" s="23">
        <v>0.625</v>
      </c>
      <c r="D45" s="23" t="str">
        <f>dataMatch!E43</f>
        <v>F</v>
      </c>
      <c r="E45" s="24" t="str">
        <f>dataMatch!F43</f>
        <v>Croatia</v>
      </c>
      <c r="F45" s="31"/>
      <c r="G45" s="25" t="s">
        <v>103</v>
      </c>
      <c r="H45" s="31"/>
      <c r="I45" s="24" t="str">
        <f>dataMatch!G43</f>
        <v>Belgium</v>
      </c>
    </row>
    <row r="46" spans="2:26" ht="20.149999999999999" customHeight="1" thickBot="1" x14ac:dyDescent="0.4">
      <c r="B46" s="58"/>
      <c r="C46" s="23">
        <v>0.625</v>
      </c>
      <c r="D46" s="23" t="str">
        <f>dataMatch!E44</f>
        <v>F</v>
      </c>
      <c r="E46" s="24" t="str">
        <f>dataMatch!F44</f>
        <v>Canada</v>
      </c>
      <c r="F46" s="31"/>
      <c r="G46" s="25" t="s">
        <v>103</v>
      </c>
      <c r="H46" s="31"/>
      <c r="I46" s="24" t="str">
        <f>dataMatch!G44</f>
        <v>Morocco</v>
      </c>
    </row>
    <row r="47" spans="2:26" ht="20.149999999999999" customHeight="1" thickBot="1" x14ac:dyDescent="0.4">
      <c r="B47" s="58"/>
      <c r="C47" s="23">
        <v>0.79166666666666663</v>
      </c>
      <c r="D47" s="23" t="str">
        <f>dataMatch!E45</f>
        <v>E</v>
      </c>
      <c r="E47" s="24" t="str">
        <f>dataMatch!F45</f>
        <v>Japan</v>
      </c>
      <c r="F47" s="31"/>
      <c r="G47" s="25" t="s">
        <v>103</v>
      </c>
      <c r="H47" s="31"/>
      <c r="I47" s="24" t="str">
        <f>dataMatch!G45</f>
        <v>Spain</v>
      </c>
    </row>
    <row r="48" spans="2:26" ht="20.149999999999999" customHeight="1" thickBot="1" x14ac:dyDescent="0.4">
      <c r="B48" s="58"/>
      <c r="C48" s="23">
        <v>0.79166666666666663</v>
      </c>
      <c r="D48" s="23" t="str">
        <f>dataMatch!E46</f>
        <v>E</v>
      </c>
      <c r="E48" s="24" t="str">
        <f>dataMatch!F46</f>
        <v>Costa Rica</v>
      </c>
      <c r="F48" s="31"/>
      <c r="G48" s="25" t="s">
        <v>103</v>
      </c>
      <c r="H48" s="31"/>
      <c r="I48" s="24" t="str">
        <f>dataMatch!G46</f>
        <v>Germany</v>
      </c>
    </row>
    <row r="49" spans="2:9" ht="20.149999999999999" customHeight="1" thickBot="1" x14ac:dyDescent="0.4">
      <c r="B49" s="59" t="s">
        <v>123</v>
      </c>
      <c r="C49" s="23">
        <v>0.625</v>
      </c>
      <c r="D49" s="23" t="str">
        <f>dataMatch!E47</f>
        <v>H</v>
      </c>
      <c r="E49" s="24" t="str">
        <f>dataMatch!F47</f>
        <v>Ghana</v>
      </c>
      <c r="F49" s="31"/>
      <c r="G49" s="25" t="s">
        <v>103</v>
      </c>
      <c r="H49" s="31"/>
      <c r="I49" s="24" t="str">
        <f>dataMatch!G47</f>
        <v>Uruguay</v>
      </c>
    </row>
    <row r="50" spans="2:9" ht="20.149999999999999" customHeight="1" thickBot="1" x14ac:dyDescent="0.4">
      <c r="B50" s="59"/>
      <c r="C50" s="23">
        <v>0.625</v>
      </c>
      <c r="D50" s="23" t="str">
        <f>dataMatch!E48</f>
        <v>H</v>
      </c>
      <c r="E50" s="24" t="str">
        <f>dataMatch!F48</f>
        <v>Korea Republic</v>
      </c>
      <c r="F50" s="31"/>
      <c r="G50" s="25" t="s">
        <v>103</v>
      </c>
      <c r="H50" s="31"/>
      <c r="I50" s="24" t="str">
        <f>dataMatch!G48</f>
        <v>Portugal</v>
      </c>
    </row>
    <row r="51" spans="2:9" ht="20.149999999999999" customHeight="1" thickBot="1" x14ac:dyDescent="0.4">
      <c r="B51" s="59"/>
      <c r="C51" s="23">
        <v>0.79166666666666663</v>
      </c>
      <c r="D51" s="23" t="str">
        <f>dataMatch!E49</f>
        <v>G</v>
      </c>
      <c r="E51" s="24" t="str">
        <f>dataMatch!F49</f>
        <v>Serbia</v>
      </c>
      <c r="F51" s="31"/>
      <c r="G51" s="25" t="s">
        <v>103</v>
      </c>
      <c r="H51" s="31"/>
      <c r="I51" s="24" t="str">
        <f>dataMatch!G49</f>
        <v>Switzerland</v>
      </c>
    </row>
    <row r="52" spans="2:9" ht="20.149999999999999" customHeight="1" thickBot="1" x14ac:dyDescent="0.4">
      <c r="B52" s="59"/>
      <c r="C52" s="23">
        <v>0.79166666666666663</v>
      </c>
      <c r="D52" s="23" t="str">
        <f>dataMatch!E50</f>
        <v>G</v>
      </c>
      <c r="E52" s="24" t="str">
        <f>dataMatch!F50</f>
        <v>Cameroon</v>
      </c>
      <c r="F52" s="32"/>
      <c r="G52" s="25" t="s">
        <v>103</v>
      </c>
      <c r="H52" s="32"/>
      <c r="I52" s="24" t="str">
        <f>dataMatch!G50</f>
        <v>Brazil</v>
      </c>
    </row>
    <row r="53" spans="2:9" ht="20.149999999999999" customHeight="1" thickTop="1" thickBot="1" x14ac:dyDescent="0.4">
      <c r="B53" s="55" t="s">
        <v>124</v>
      </c>
      <c r="C53" s="56"/>
      <c r="D53" s="56"/>
      <c r="E53" s="56"/>
      <c r="F53" s="56"/>
      <c r="G53" s="56"/>
      <c r="H53" s="56"/>
      <c r="I53" s="57"/>
    </row>
    <row r="54" spans="2:9" ht="22" customHeight="1" outlineLevel="1" thickTop="1" thickBot="1" x14ac:dyDescent="0.4">
      <c r="B54" s="52" t="s">
        <v>125</v>
      </c>
      <c r="C54" s="29">
        <v>0.625</v>
      </c>
      <c r="D54" s="18" t="s">
        <v>126</v>
      </c>
      <c r="E54" s="7" t="str">
        <f>M8</f>
        <v>Qatar</v>
      </c>
      <c r="F54" s="31"/>
      <c r="G54" s="25" t="s">
        <v>103</v>
      </c>
      <c r="H54" s="31"/>
      <c r="I54" s="7" t="str">
        <f>M16</f>
        <v>IR Iran</v>
      </c>
    </row>
    <row r="55" spans="2:9" ht="22" customHeight="1" outlineLevel="1" thickBot="1" x14ac:dyDescent="0.4">
      <c r="B55" s="60"/>
      <c r="C55" s="29">
        <v>0.79166666666666663</v>
      </c>
      <c r="D55" s="18" t="s">
        <v>127</v>
      </c>
      <c r="E55" s="7" t="str">
        <f>M22</f>
        <v>Argentina</v>
      </c>
      <c r="F55" s="31"/>
      <c r="G55" s="25" t="s">
        <v>103</v>
      </c>
      <c r="H55" s="31"/>
      <c r="I55" s="7" t="str">
        <f>M30</f>
        <v>Denmark</v>
      </c>
    </row>
    <row r="56" spans="2:9" ht="22" customHeight="1" outlineLevel="1" thickBot="1" x14ac:dyDescent="0.4">
      <c r="B56" s="54" t="s">
        <v>128</v>
      </c>
      <c r="C56" s="29">
        <v>0.625</v>
      </c>
      <c r="D56" s="18" t="s">
        <v>129</v>
      </c>
      <c r="E56" s="7" t="str">
        <f>M29</f>
        <v>France</v>
      </c>
      <c r="F56" s="31"/>
      <c r="G56" s="25" t="s">
        <v>103</v>
      </c>
      <c r="H56" s="31"/>
      <c r="I56" s="7" t="str">
        <f>M23</f>
        <v>Saudi Arabia</v>
      </c>
    </row>
    <row r="57" spans="2:9" ht="22" customHeight="1" outlineLevel="1" thickBot="1" x14ac:dyDescent="0.4">
      <c r="B57" s="54"/>
      <c r="C57" s="29">
        <v>0.79166666666666663</v>
      </c>
      <c r="D57" s="18" t="s">
        <v>130</v>
      </c>
      <c r="E57" s="7" t="str">
        <f>M15</f>
        <v>England</v>
      </c>
      <c r="F57" s="31"/>
      <c r="G57" s="25" t="s">
        <v>103</v>
      </c>
      <c r="H57" s="31"/>
      <c r="I57" s="7" t="str">
        <f>M9</f>
        <v>Ecuador</v>
      </c>
    </row>
    <row r="58" spans="2:9" ht="22" customHeight="1" outlineLevel="1" thickBot="1" x14ac:dyDescent="0.4">
      <c r="B58" s="53" t="s">
        <v>131</v>
      </c>
      <c r="C58" s="29">
        <v>0.625</v>
      </c>
      <c r="D58" s="18" t="s">
        <v>132</v>
      </c>
      <c r="E58" s="7" t="str">
        <f>T8</f>
        <v>Spain</v>
      </c>
      <c r="F58" s="31"/>
      <c r="G58" s="25" t="s">
        <v>103</v>
      </c>
      <c r="H58" s="31"/>
      <c r="I58" s="7" t="str">
        <f>T16</f>
        <v>Canada</v>
      </c>
    </row>
    <row r="59" spans="2:9" ht="22" customHeight="1" outlineLevel="1" thickBot="1" x14ac:dyDescent="0.4">
      <c r="B59" s="53"/>
      <c r="C59" s="29">
        <v>0.79166666666666663</v>
      </c>
      <c r="D59" s="18" t="s">
        <v>133</v>
      </c>
      <c r="E59" s="7" t="str">
        <f>T22</f>
        <v>Brazil</v>
      </c>
      <c r="F59" s="31"/>
      <c r="G59" s="25" t="s">
        <v>103</v>
      </c>
      <c r="H59" s="31"/>
      <c r="I59" s="7" t="str">
        <f>T30</f>
        <v>Ghana</v>
      </c>
    </row>
    <row r="60" spans="2:9" ht="22" customHeight="1" outlineLevel="1" thickBot="1" x14ac:dyDescent="0.4">
      <c r="B60" s="54" t="s">
        <v>134</v>
      </c>
      <c r="C60" s="29">
        <v>0.625</v>
      </c>
      <c r="D60" s="18" t="s">
        <v>135</v>
      </c>
      <c r="E60" s="7" t="str">
        <f>T15</f>
        <v>Belgium</v>
      </c>
      <c r="F60" s="31"/>
      <c r="G60" s="25" t="s">
        <v>103</v>
      </c>
      <c r="H60" s="31"/>
      <c r="I60" s="7" t="str">
        <f>T9</f>
        <v>Germany</v>
      </c>
    </row>
    <row r="61" spans="2:9" ht="22" customHeight="1" outlineLevel="1" thickBot="1" x14ac:dyDescent="0.4">
      <c r="B61" s="54"/>
      <c r="C61" s="29">
        <v>0.79166666666666663</v>
      </c>
      <c r="D61" s="18" t="s">
        <v>136</v>
      </c>
      <c r="E61" s="7" t="str">
        <f>T29</f>
        <v>Portugal</v>
      </c>
      <c r="F61" s="32"/>
      <c r="G61" s="25" t="s">
        <v>103</v>
      </c>
      <c r="H61" s="32"/>
      <c r="I61" s="7" t="str">
        <f>T23</f>
        <v>Serbia</v>
      </c>
    </row>
    <row r="62" spans="2:9" ht="22" customHeight="1" thickTop="1" thickBot="1" x14ac:dyDescent="0.4">
      <c r="B62" s="55" t="s">
        <v>137</v>
      </c>
      <c r="C62" s="56"/>
      <c r="D62" s="56"/>
      <c r="E62" s="56"/>
      <c r="F62" s="56"/>
      <c r="G62" s="56"/>
      <c r="H62" s="56"/>
      <c r="I62" s="57"/>
    </row>
    <row r="63" spans="2:9" ht="22" hidden="1" customHeight="1" outlineLevel="1" thickTop="1" thickBot="1" x14ac:dyDescent="0.4">
      <c r="B63" s="52" t="s">
        <v>138</v>
      </c>
      <c r="C63" s="29">
        <v>0.625</v>
      </c>
      <c r="E63" s="7" t="str">
        <f>IF(F58&gt;H58,E58,I58)</f>
        <v>Canada</v>
      </c>
      <c r="F63" s="31"/>
      <c r="G63" s="25" t="s">
        <v>103</v>
      </c>
      <c r="H63" s="31"/>
      <c r="I63" s="7" t="str">
        <f>IF(F59&gt;H59,E59,I59)</f>
        <v>Ghana</v>
      </c>
    </row>
    <row r="64" spans="2:9" ht="22" hidden="1" customHeight="1" outlineLevel="1" thickBot="1" x14ac:dyDescent="0.4">
      <c r="B64" s="53"/>
      <c r="C64" s="29">
        <v>0.79166666666666663</v>
      </c>
      <c r="E64" s="7" t="str">
        <f>IF(F54&gt;H54,E54,I54)</f>
        <v>IR Iran</v>
      </c>
      <c r="F64" s="31"/>
      <c r="G64" s="25" t="s">
        <v>103</v>
      </c>
      <c r="H64" s="31"/>
      <c r="I64" s="7" t="str">
        <f>IF(F55&gt;H55,E55,I55)</f>
        <v>Denmark</v>
      </c>
    </row>
    <row r="65" spans="2:9" ht="22" hidden="1" customHeight="1" outlineLevel="1" thickBot="1" x14ac:dyDescent="0.4">
      <c r="B65" s="54" t="s">
        <v>139</v>
      </c>
      <c r="C65" s="29">
        <v>0.625</v>
      </c>
      <c r="E65" s="7" t="str">
        <f>IF(F60&gt;H60,E60,I60)</f>
        <v>Germany</v>
      </c>
      <c r="F65" s="31"/>
      <c r="G65" s="25" t="s">
        <v>103</v>
      </c>
      <c r="H65" s="31"/>
      <c r="I65" s="7" t="str">
        <f>IF(F61&gt;H61,E61,I61)</f>
        <v>Serbia</v>
      </c>
    </row>
    <row r="66" spans="2:9" ht="22" hidden="1" customHeight="1" outlineLevel="1" thickBot="1" x14ac:dyDescent="0.4">
      <c r="B66" s="54"/>
      <c r="C66" s="29">
        <v>0.79166666666666663</v>
      </c>
      <c r="E66" s="7" t="str">
        <f>IF(F57&gt;H57,E57,I57)</f>
        <v>Ecuador</v>
      </c>
      <c r="F66" s="32"/>
      <c r="G66" s="25" t="s">
        <v>103</v>
      </c>
      <c r="H66" s="32"/>
      <c r="I66" s="7" t="str">
        <f>IF(F56&gt;H56,E56,I56)</f>
        <v>Saudi Arabia</v>
      </c>
    </row>
    <row r="67" spans="2:9" ht="22" customHeight="1" collapsed="1" thickTop="1" thickBot="1" x14ac:dyDescent="0.4">
      <c r="B67" s="55" t="s">
        <v>140</v>
      </c>
      <c r="C67" s="56"/>
      <c r="D67" s="56"/>
      <c r="E67" s="56"/>
      <c r="F67" s="56"/>
      <c r="G67" s="56"/>
      <c r="H67" s="56"/>
      <c r="I67" s="57"/>
    </row>
    <row r="68" spans="2:9" ht="22" hidden="1" customHeight="1" outlineLevel="1" thickTop="1" thickBot="1" x14ac:dyDescent="0.4">
      <c r="B68" s="22" t="s">
        <v>141</v>
      </c>
      <c r="C68" s="29">
        <v>0.79166666666666663</v>
      </c>
      <c r="E68" s="7" t="str">
        <f>IF(F64&gt;H64,E64,I64)</f>
        <v>Denmark</v>
      </c>
      <c r="F68" s="31"/>
      <c r="G68" s="25" t="s">
        <v>103</v>
      </c>
      <c r="H68" s="31"/>
      <c r="I68" s="7" t="str">
        <f>IF(F63&gt;H63,E63,I63)</f>
        <v>Ghana</v>
      </c>
    </row>
    <row r="69" spans="2:9" ht="22" hidden="1" customHeight="1" outlineLevel="1" thickBot="1" x14ac:dyDescent="0.4">
      <c r="B69" s="30" t="s">
        <v>142</v>
      </c>
      <c r="C69" s="29">
        <v>0.79166666666666663</v>
      </c>
      <c r="E69" s="7" t="str">
        <f>IF(F66&gt;H66,E66,I66)</f>
        <v>Saudi Arabia</v>
      </c>
      <c r="F69" s="32"/>
      <c r="G69" s="25" t="s">
        <v>103</v>
      </c>
      <c r="H69" s="32"/>
      <c r="I69" s="7" t="str">
        <f>IF(F65&gt;H65,E65,I65)</f>
        <v>Serbia</v>
      </c>
    </row>
    <row r="70" spans="2:9" ht="22" customHeight="1" collapsed="1" thickTop="1" thickBot="1" x14ac:dyDescent="0.4">
      <c r="B70" s="55" t="s">
        <v>143</v>
      </c>
      <c r="C70" s="56"/>
      <c r="D70" s="56"/>
      <c r="E70" s="56"/>
      <c r="F70" s="56"/>
      <c r="G70" s="56"/>
      <c r="H70" s="56"/>
      <c r="I70" s="57"/>
    </row>
    <row r="71" spans="2:9" ht="22" hidden="1" customHeight="1" outlineLevel="1" thickTop="1" thickBot="1" x14ac:dyDescent="0.4">
      <c r="B71" s="22" t="s">
        <v>144</v>
      </c>
      <c r="C71" s="29">
        <v>0.625</v>
      </c>
      <c r="E71" s="7" t="str">
        <f>IF(F68&lt;H68,E68,I68)</f>
        <v>Ghana</v>
      </c>
      <c r="F71" s="32"/>
      <c r="G71" s="25" t="s">
        <v>103</v>
      </c>
      <c r="H71" s="32"/>
      <c r="I71" s="7" t="str">
        <f>IF(F69&lt;H69,E69,I69)</f>
        <v>Serbia</v>
      </c>
    </row>
    <row r="72" spans="2:9" ht="22" customHeight="1" collapsed="1" thickTop="1" thickBot="1" x14ac:dyDescent="0.4">
      <c r="B72" s="55" t="s">
        <v>145</v>
      </c>
      <c r="C72" s="56"/>
      <c r="D72" s="56"/>
      <c r="E72" s="56"/>
      <c r="F72" s="56"/>
      <c r="G72" s="56"/>
      <c r="H72" s="56"/>
      <c r="I72" s="57"/>
    </row>
    <row r="73" spans="2:9" ht="22" hidden="1" customHeight="1" outlineLevel="1" thickTop="1" thickBot="1" x14ac:dyDescent="0.4">
      <c r="B73" s="30" t="s">
        <v>146</v>
      </c>
      <c r="C73" s="29">
        <v>0.625</v>
      </c>
      <c r="E73" s="7" t="str">
        <f>IF(F68&gt;H68,E68,I68)</f>
        <v>Ghana</v>
      </c>
      <c r="F73" s="31"/>
      <c r="G73" s="25" t="s">
        <v>103</v>
      </c>
      <c r="H73" s="31"/>
      <c r="I73" s="7" t="str">
        <f>IF(F69&gt;H69,E69,I69)</f>
        <v>Serbia</v>
      </c>
    </row>
    <row r="74" spans="2:9" ht="22" customHeight="1" collapsed="1" thickTop="1" x14ac:dyDescent="0.35"/>
  </sheetData>
  <sheetProtection algorithmName="SHA-512" hashValue="cDsCInKbL+JmPooI15Yw+gWnzjSc1+3OBoIcIe1LsjUs01fftWTMei9IBo1VX9fpYHvN/qmDdsf9Oy2JK96O7w==" saltValue="k+fNtIi8ftu9EQf/TXgFlg==" spinCount="100000" sheet="1" objects="1" scenarios="1"/>
  <mergeCells count="31">
    <mergeCell ref="B63:B64"/>
    <mergeCell ref="B65:B66"/>
    <mergeCell ref="B67:I67"/>
    <mergeCell ref="B70:I70"/>
    <mergeCell ref="B72:I72"/>
    <mergeCell ref="B62:I62"/>
    <mergeCell ref="B29:B32"/>
    <mergeCell ref="B33:B36"/>
    <mergeCell ref="B37:B40"/>
    <mergeCell ref="B41:B44"/>
    <mergeCell ref="B45:B48"/>
    <mergeCell ref="B49:B52"/>
    <mergeCell ref="B53:I53"/>
    <mergeCell ref="B54:B55"/>
    <mergeCell ref="B56:B57"/>
    <mergeCell ref="B58:B59"/>
    <mergeCell ref="B60:B61"/>
    <mergeCell ref="B17:B20"/>
    <mergeCell ref="M20:R20"/>
    <mergeCell ref="T20:Y20"/>
    <mergeCell ref="B21:B24"/>
    <mergeCell ref="B25:B28"/>
    <mergeCell ref="M27:R27"/>
    <mergeCell ref="T27:Y27"/>
    <mergeCell ref="B6:B8"/>
    <mergeCell ref="M6:R6"/>
    <mergeCell ref="T6:Y6"/>
    <mergeCell ref="B9:B12"/>
    <mergeCell ref="B13:B16"/>
    <mergeCell ref="M13:R13"/>
    <mergeCell ref="T13:Y13"/>
  </mergeCells>
  <conditionalFormatting sqref="E6:E52">
    <cfRule type="expression" dxfId="73" priority="38">
      <formula>F6&gt;H6</formula>
    </cfRule>
  </conditionalFormatting>
  <conditionalFormatting sqref="I6:I52">
    <cfRule type="expression" dxfId="72" priority="37">
      <formula>F6&lt;H6</formula>
    </cfRule>
  </conditionalFormatting>
  <conditionalFormatting sqref="M8">
    <cfRule type="expression" dxfId="71" priority="36">
      <formula>$M$8&lt;&gt;#REF!</formula>
    </cfRule>
  </conditionalFormatting>
  <conditionalFormatting sqref="M9">
    <cfRule type="expression" dxfId="70" priority="35">
      <formula>$M$9&lt;&gt;#REF!</formula>
    </cfRule>
  </conditionalFormatting>
  <conditionalFormatting sqref="M10">
    <cfRule type="expression" dxfId="69" priority="34">
      <formula>$M$10&lt;&gt;#REF!</formula>
    </cfRule>
  </conditionalFormatting>
  <conditionalFormatting sqref="M11">
    <cfRule type="expression" dxfId="68" priority="33">
      <formula>$M$11&lt;&gt;#REF!</formula>
    </cfRule>
  </conditionalFormatting>
  <conditionalFormatting sqref="M15">
    <cfRule type="expression" dxfId="67" priority="32">
      <formula>$M$15&lt;&gt;#REF!</formula>
    </cfRule>
  </conditionalFormatting>
  <conditionalFormatting sqref="M16">
    <cfRule type="expression" dxfId="66" priority="31">
      <formula>$M$16&lt;&gt;#REF!</formula>
    </cfRule>
  </conditionalFormatting>
  <conditionalFormatting sqref="M17">
    <cfRule type="expression" dxfId="65" priority="30">
      <formula>$M$17&lt;&gt;#REF!</formula>
    </cfRule>
  </conditionalFormatting>
  <conditionalFormatting sqref="M18">
    <cfRule type="expression" dxfId="64" priority="29">
      <formula>$M$18&lt;&gt;#REF!</formula>
    </cfRule>
  </conditionalFormatting>
  <conditionalFormatting sqref="M22">
    <cfRule type="expression" dxfId="63" priority="28">
      <formula>$M$22&lt;&gt;#REF!</formula>
    </cfRule>
  </conditionalFormatting>
  <conditionalFormatting sqref="M23">
    <cfRule type="expression" dxfId="62" priority="27">
      <formula>$M$23&lt;&gt;#REF!</formula>
    </cfRule>
  </conditionalFormatting>
  <conditionalFormatting sqref="M24">
    <cfRule type="expression" dxfId="61" priority="26">
      <formula>$M$24&lt;&gt;#REF!</formula>
    </cfRule>
  </conditionalFormatting>
  <conditionalFormatting sqref="M25">
    <cfRule type="expression" dxfId="60" priority="25">
      <formula>$M$25&lt;&gt;#REF!</formula>
    </cfRule>
  </conditionalFormatting>
  <conditionalFormatting sqref="M29">
    <cfRule type="expression" dxfId="59" priority="24">
      <formula>$M$29&lt;&gt;#REF!</formula>
    </cfRule>
  </conditionalFormatting>
  <conditionalFormatting sqref="M30">
    <cfRule type="expression" dxfId="58" priority="23">
      <formula>$M$30&lt;&gt;#REF!</formula>
    </cfRule>
  </conditionalFormatting>
  <conditionalFormatting sqref="M31">
    <cfRule type="expression" dxfId="57" priority="22">
      <formula>$M$31&lt;&gt;#REF!</formula>
    </cfRule>
  </conditionalFormatting>
  <conditionalFormatting sqref="M32">
    <cfRule type="expression" dxfId="56" priority="21">
      <formula>$M$32&lt;&gt;#REF!</formula>
    </cfRule>
  </conditionalFormatting>
  <conditionalFormatting sqref="T8">
    <cfRule type="expression" dxfId="55" priority="20">
      <formula>$T$8&lt;&gt;#REF!</formula>
    </cfRule>
  </conditionalFormatting>
  <conditionalFormatting sqref="T9">
    <cfRule type="expression" dxfId="54" priority="19">
      <formula>$T$9&lt;&gt;#REF!</formula>
    </cfRule>
  </conditionalFormatting>
  <conditionalFormatting sqref="T10">
    <cfRule type="expression" dxfId="53" priority="18">
      <formula>$T$10&lt;&gt;#REF!</formula>
    </cfRule>
  </conditionalFormatting>
  <conditionalFormatting sqref="T11">
    <cfRule type="expression" dxfId="52" priority="17">
      <formula>$T$11&lt;&gt;#REF!</formula>
    </cfRule>
  </conditionalFormatting>
  <conditionalFormatting sqref="T15">
    <cfRule type="expression" dxfId="51" priority="16">
      <formula>$T$15&lt;&gt;#REF!</formula>
    </cfRule>
  </conditionalFormatting>
  <conditionalFormatting sqref="T16">
    <cfRule type="expression" dxfId="50" priority="15">
      <formula>$T$16&lt;&gt;#REF!</formula>
    </cfRule>
  </conditionalFormatting>
  <conditionalFormatting sqref="T17">
    <cfRule type="expression" dxfId="49" priority="14">
      <formula>$T$17&lt;&gt;#REF!</formula>
    </cfRule>
  </conditionalFormatting>
  <conditionalFormatting sqref="T18">
    <cfRule type="expression" dxfId="48" priority="13">
      <formula>$T$18&lt;&gt;#REF!</formula>
    </cfRule>
  </conditionalFormatting>
  <conditionalFormatting sqref="T22">
    <cfRule type="expression" dxfId="47" priority="12">
      <formula>$T$22&lt;&gt;#REF!</formula>
    </cfRule>
  </conditionalFormatting>
  <conditionalFormatting sqref="T23">
    <cfRule type="expression" dxfId="46" priority="11">
      <formula>$T$23&lt;&gt;#REF!</formula>
    </cfRule>
  </conditionalFormatting>
  <conditionalFormatting sqref="T24">
    <cfRule type="expression" dxfId="45" priority="10">
      <formula>$T$24&lt;&gt;#REF!</formula>
    </cfRule>
  </conditionalFormatting>
  <conditionalFormatting sqref="T25">
    <cfRule type="expression" dxfId="44" priority="9">
      <formula>$T$25&lt;&gt;#REF!</formula>
    </cfRule>
  </conditionalFormatting>
  <conditionalFormatting sqref="T29">
    <cfRule type="expression" dxfId="43" priority="8">
      <formula>$T$29&lt;&gt;#REF!</formula>
    </cfRule>
  </conditionalFormatting>
  <conditionalFormatting sqref="T30">
    <cfRule type="expression" dxfId="42" priority="7">
      <formula>$T$30&lt;&gt;#REF!</formula>
    </cfRule>
  </conditionalFormatting>
  <conditionalFormatting sqref="T31">
    <cfRule type="expression" dxfId="41" priority="6">
      <formula>$T$31&lt;&gt;#REF!</formula>
    </cfRule>
  </conditionalFormatting>
  <conditionalFormatting sqref="T32">
    <cfRule type="expression" dxfId="40" priority="5">
      <formula>$T$32&lt;&gt;#REF!</formula>
    </cfRule>
  </conditionalFormatting>
  <conditionalFormatting sqref="E5">
    <cfRule type="expression" dxfId="39" priority="2">
      <formula>F5&gt;H5</formula>
    </cfRule>
  </conditionalFormatting>
  <conditionalFormatting sqref="I5">
    <cfRule type="expression" dxfId="38" priority="1">
      <formula>F5&lt;H5</formula>
    </cfRule>
  </conditionalFormatting>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groupReal"/>
  <dimension ref="B2:AQ27"/>
  <sheetViews>
    <sheetView showGridLines="0" zoomScale="80" zoomScaleNormal="80" workbookViewId="0">
      <selection activeCell="A7" sqref="A7"/>
    </sheetView>
  </sheetViews>
  <sheetFormatPr defaultRowHeight="14.5" outlineLevelCol="1" x14ac:dyDescent="0.35"/>
  <cols>
    <col min="1" max="1" width="3.1796875" customWidth="1"/>
    <col min="2" max="2" width="6.453125" bestFit="1" customWidth="1"/>
    <col min="3" max="3" width="3.1796875" bestFit="1" customWidth="1"/>
    <col min="4" max="4" width="11" bestFit="1" customWidth="1"/>
    <col min="8" max="8" width="6.1796875" bestFit="1" customWidth="1"/>
    <col min="10" max="10" width="2.1796875" customWidth="1"/>
    <col min="11" max="15" width="8.54296875" hidden="1" customWidth="1" outlineLevel="1"/>
    <col min="16" max="21" width="8.7265625" hidden="1" customWidth="1" outlineLevel="1"/>
    <col min="22" max="22" width="3.1796875" customWidth="1" collapsed="1"/>
    <col min="31" max="31" width="2.453125" customWidth="1"/>
    <col min="32" max="42" width="8.7265625" hidden="1" customWidth="1" outlineLevel="1"/>
    <col min="43" max="43" width="8.7265625" collapsed="1"/>
  </cols>
  <sheetData>
    <row r="2" spans="2:42" x14ac:dyDescent="0.35">
      <c r="B2" s="1" t="s">
        <v>7</v>
      </c>
      <c r="C2" s="1" t="s">
        <v>8</v>
      </c>
      <c r="D2" s="1" t="s">
        <v>9</v>
      </c>
      <c r="E2" s="1" t="s">
        <v>10</v>
      </c>
      <c r="F2" s="1" t="s">
        <v>11</v>
      </c>
      <c r="G2" s="1" t="s">
        <v>12</v>
      </c>
      <c r="H2" s="1" t="s">
        <v>13</v>
      </c>
      <c r="I2" s="1" t="s">
        <v>14</v>
      </c>
      <c r="J2" s="2"/>
      <c r="K2" s="44" t="s">
        <v>15</v>
      </c>
      <c r="L2" s="43" t="s">
        <v>16</v>
      </c>
      <c r="M2" s="43" t="s">
        <v>17</v>
      </c>
      <c r="N2" s="43" t="s">
        <v>18</v>
      </c>
      <c r="O2" s="43" t="s">
        <v>19</v>
      </c>
      <c r="P2" s="43" t="s">
        <v>20</v>
      </c>
      <c r="Q2" s="43" t="s">
        <v>21</v>
      </c>
      <c r="R2" s="43" t="s">
        <v>22</v>
      </c>
      <c r="S2" s="43" t="s">
        <v>23</v>
      </c>
      <c r="T2" s="43" t="s">
        <v>24</v>
      </c>
      <c r="U2" s="43" t="s">
        <v>25</v>
      </c>
      <c r="W2" s="1" t="s">
        <v>7</v>
      </c>
      <c r="X2" s="1" t="s">
        <v>26</v>
      </c>
      <c r="Y2" s="1" t="s">
        <v>9</v>
      </c>
      <c r="Z2" s="1" t="s">
        <v>10</v>
      </c>
      <c r="AA2" s="1" t="s">
        <v>11</v>
      </c>
      <c r="AB2" s="1" t="s">
        <v>12</v>
      </c>
      <c r="AC2" s="1" t="s">
        <v>13</v>
      </c>
      <c r="AD2" s="1" t="s">
        <v>14</v>
      </c>
      <c r="AF2" s="6" t="s">
        <v>15</v>
      </c>
      <c r="AG2" s="6" t="s">
        <v>16</v>
      </c>
      <c r="AH2" s="6" t="s">
        <v>17</v>
      </c>
      <c r="AI2" s="6" t="s">
        <v>18</v>
      </c>
      <c r="AJ2" s="6" t="s">
        <v>19</v>
      </c>
      <c r="AK2" s="6" t="s">
        <v>20</v>
      </c>
      <c r="AL2" s="6" t="s">
        <v>21</v>
      </c>
      <c r="AM2" s="6" t="s">
        <v>22</v>
      </c>
      <c r="AN2" s="6" t="s">
        <v>23</v>
      </c>
      <c r="AO2" s="6" t="s">
        <v>24</v>
      </c>
      <c r="AP2" s="6" t="s">
        <v>25</v>
      </c>
    </row>
    <row r="3" spans="2:42" x14ac:dyDescent="0.35">
      <c r="B3" s="3">
        <v>1</v>
      </c>
      <c r="C3" s="3" t="s">
        <v>27</v>
      </c>
      <c r="D3" s="3" t="s">
        <v>28</v>
      </c>
      <c r="E3" s="3">
        <f>Real!F5+Real!F22+Real!H38</f>
        <v>0</v>
      </c>
      <c r="F3" s="3">
        <f>Real!H5+Real!H22+Real!F38</f>
        <v>0</v>
      </c>
      <c r="G3" s="3">
        <f>E3-F3</f>
        <v>0</v>
      </c>
      <c r="H3" s="3">
        <f>IF(Real!F5="",0,1)+IF(Real!F22="",0,1)+IF(Real!H38="",0,1)</f>
        <v>0</v>
      </c>
      <c r="I3" s="3">
        <f>IF(Real!F5="",0,IF(Real!F5&gt;Real!H5,3,IF(Real!H5&gt;Real!F5,0,1)))+IF(Real!F22="",0,IF(Real!F22&gt;Real!H22,3,IF(Real!H22&gt;Real!F22,0,1)))+IF(Real!F38="",0,IF(Real!H38&gt;Real!F38,3,IF(Real!F38&gt;Real!H38,0,1)))</f>
        <v>0</v>
      </c>
      <c r="K3">
        <f>IF(Real!F5&gt;Real!H5,1,0)</f>
        <v>0</v>
      </c>
      <c r="L3">
        <f>IF(Real!F22&gt;Real!H22,1,0)</f>
        <v>0</v>
      </c>
      <c r="M3">
        <f>IF(Real!H38&gt;Real!F38,1,0)</f>
        <v>0</v>
      </c>
      <c r="Q3">
        <f>SUM(K3:L3,N3)</f>
        <v>0</v>
      </c>
      <c r="S3">
        <f>SUM(L3,M3,P3)</f>
        <v>0</v>
      </c>
      <c r="T3">
        <f>SUM(K3,M3,O3)</f>
        <v>0</v>
      </c>
      <c r="U3">
        <f>SUM(K3:P3)</f>
        <v>0</v>
      </c>
      <c r="W3" s="3">
        <v>1</v>
      </c>
      <c r="X3" s="3" t="s">
        <v>29</v>
      </c>
      <c r="Y3" s="3" t="s">
        <v>30</v>
      </c>
      <c r="Z3" s="3">
        <f>Real!F15+Real!F32+Real!H47</f>
        <v>0</v>
      </c>
      <c r="AA3" s="3">
        <f>Real!H15+Real!H32+Real!F47</f>
        <v>0</v>
      </c>
      <c r="AB3" s="3">
        <f>Z3-AA3</f>
        <v>0</v>
      </c>
      <c r="AC3" s="3">
        <f>IF(Real!F15="",0,1)+IF(Real!F32="",0,1)+IF(Real!H47="",0,1)</f>
        <v>0</v>
      </c>
      <c r="AD3" s="3">
        <f>IF(Real!F15="",0,IF(Real!F15&gt;Real!H15,3,IF(Real!H15&gt;Real!F15,0,1)))+IF(Real!F32="",0,IF(Real!F32&gt;Real!H32,3,IF(Real!H32&gt;Real!F32,0,1)))+IF(Real!H47="",0,IF(Real!F47&gt;Real!H47,3,IF(Real!H47&gt;Real!F47,0,1)))</f>
        <v>0</v>
      </c>
      <c r="AF3">
        <f>IF(Real!F32&gt;Real!H32,1,0)</f>
        <v>0</v>
      </c>
      <c r="AG3">
        <f>IF(Real!H47&gt;Real!F47,1,0)</f>
        <v>0</v>
      </c>
      <c r="AH3">
        <f>IF(Real!F15&gt;Real!H15,1,0)</f>
        <v>0</v>
      </c>
      <c r="AL3">
        <f>SUM(AF3:AG3,AI3)</f>
        <v>0</v>
      </c>
      <c r="AN3">
        <f>SUM(AG3,AH3,AK3)</f>
        <v>0</v>
      </c>
      <c r="AO3">
        <f>SUM(AF3,AH3,AJ3)</f>
        <v>0</v>
      </c>
      <c r="AP3">
        <f>SUM(AF3:AK3)</f>
        <v>0</v>
      </c>
    </row>
    <row r="4" spans="2:42" x14ac:dyDescent="0.35">
      <c r="B4" s="3">
        <v>2</v>
      </c>
      <c r="C4" s="3" t="s">
        <v>31</v>
      </c>
      <c r="D4" s="3" t="s">
        <v>32</v>
      </c>
      <c r="E4" s="3">
        <f>Real!H5+Real!H23+Real!F37</f>
        <v>0</v>
      </c>
      <c r="F4" s="3">
        <f>Real!F5+Real!F23+Real!H37</f>
        <v>0</v>
      </c>
      <c r="G4" s="3">
        <f>E4-F4</f>
        <v>0</v>
      </c>
      <c r="H4" s="3">
        <f>IF(Real!H5="",0,1)+IF(Real!H23="",0,1)+IF(Real!F37="",0,1)</f>
        <v>0</v>
      </c>
      <c r="I4" s="3">
        <f>IF(Real!H5="",0,IF(Real!H5&gt;Real!F5,3,IF(Real!F5&gt;Real!H5,0,1)))+IF(Real!H23="",0,IF(Real!H23&gt;Real!F23,3,IF(Real!F23&gt;Real!H23,0,1)))+IF(Real!F37="",0,IF(Real!F37&gt;Real!H37,3,IF(Real!H37&gt;Real!F37,0,1)))</f>
        <v>0</v>
      </c>
      <c r="K4">
        <f>IF(Real!H5&gt;Real!F5,1,0)</f>
        <v>0</v>
      </c>
      <c r="N4">
        <f>IF(Real!F37&gt;Real!H37,1,0)</f>
        <v>0</v>
      </c>
      <c r="O4">
        <f>IF(Real!H23&gt;Real!F23,1,0)</f>
        <v>0</v>
      </c>
      <c r="Q4">
        <f>SUM(K4:L4,N4)</f>
        <v>0</v>
      </c>
      <c r="R4">
        <f>SUM(N4:P4)</f>
        <v>0</v>
      </c>
      <c r="T4">
        <f>SUM(K4,M4,O4)</f>
        <v>0</v>
      </c>
      <c r="U4">
        <f>SUM(K4:P4)</f>
        <v>0</v>
      </c>
      <c r="W4" s="3">
        <v>2</v>
      </c>
      <c r="X4" s="3" t="s">
        <v>33</v>
      </c>
      <c r="Y4" s="3" t="s">
        <v>34</v>
      </c>
      <c r="Z4" s="3">
        <f>Real!F14+Real!H32+Real!H48</f>
        <v>0</v>
      </c>
      <c r="AA4" s="3">
        <f>Real!H14+Real!F32+Real!F48</f>
        <v>0</v>
      </c>
      <c r="AB4" s="3">
        <f>Z4-AA4</f>
        <v>0</v>
      </c>
      <c r="AC4" s="3">
        <f>IF(Real!F14="",0,1)+IF(Real!H32="",0,1)+IF(Real!H48="",0,1)</f>
        <v>0</v>
      </c>
      <c r="AD4" s="3">
        <f>IF(Real!F14="",0,IF(Real!F14&gt;Real!H14,3,IF(Real!H14&gt;Real!F14,0,1)))+IF(Real!H32="",0,IF(Real!H32&gt;Real!F32,3,IF(Real!F32&gt;Real!H32,0,1)))+IF(Real!F48="",0,IF(Real!H48&gt;Real!F48,3,IF(Real!F48&gt;Real!H48,0,1)))</f>
        <v>0</v>
      </c>
      <c r="AF4">
        <f>IF(Real!H32&gt;Real!F32,1,0)</f>
        <v>0</v>
      </c>
      <c r="AI4">
        <f>IF(Real!F14&gt;Real!H14,1,0)</f>
        <v>0</v>
      </c>
      <c r="AJ4">
        <f>IF(Real!H48&gt;Real!F48,1,0)</f>
        <v>0</v>
      </c>
      <c r="AL4">
        <f>SUM(AF4:AG4,AI4)</f>
        <v>0</v>
      </c>
      <c r="AM4">
        <f>SUM(AI4:AK4)</f>
        <v>0</v>
      </c>
      <c r="AO4">
        <f>SUM(AF4,AH4,AJ4)</f>
        <v>0</v>
      </c>
      <c r="AP4">
        <f>SUM(AF4:AK4)</f>
        <v>0</v>
      </c>
    </row>
    <row r="5" spans="2:42" x14ac:dyDescent="0.35">
      <c r="B5" s="3">
        <v>3</v>
      </c>
      <c r="C5" s="3" t="s">
        <v>35</v>
      </c>
      <c r="D5" s="3" t="s">
        <v>36</v>
      </c>
      <c r="E5" s="3">
        <f>Real!F7+Real!H22+Real!H37</f>
        <v>0</v>
      </c>
      <c r="F5" s="3">
        <f>Real!H7+Real!F22+Real!F37</f>
        <v>0</v>
      </c>
      <c r="G5" s="3">
        <f>E5-F5</f>
        <v>0</v>
      </c>
      <c r="H5" s="3">
        <f>IF(Real!F7="",0,1)+IF(Real!H22="",0,1)+IF(Real!H37="",0,1)</f>
        <v>0</v>
      </c>
      <c r="I5" s="3">
        <f>IF(Real!F7="",0,IF(Real!F7&gt;Real!H7,3,IF(Real!H7&gt;Real!F7,0,1)))+IF(Real!H22="",0,IF(Real!H22&gt;Real!F22,3,IF(Real!F22&gt;Real!H22,0,1)))+IF(Real!F37="",0,IF(Real!H37&gt;Real!F37,3,IF(Real!F37&gt;Real!H37,0,1)))</f>
        <v>0</v>
      </c>
      <c r="L5">
        <f>IF(Real!H22&gt;Real!F22,1,0)</f>
        <v>0</v>
      </c>
      <c r="N5">
        <f>IF(Real!H37&gt;Real!F37,1,0)</f>
        <v>0</v>
      </c>
      <c r="P5">
        <f>IF(Real!F7&gt;Real!H7,1,0)</f>
        <v>0</v>
      </c>
      <c r="Q5">
        <f>SUM(K5:L5,N5)</f>
        <v>0</v>
      </c>
      <c r="R5">
        <f>SUM(N5:P5)</f>
        <v>0</v>
      </c>
      <c r="S5">
        <f>SUM(L5,M5,P5)</f>
        <v>0</v>
      </c>
      <c r="U5">
        <f>SUM(K5:P5)</f>
        <v>0</v>
      </c>
      <c r="W5" s="3">
        <v>3</v>
      </c>
      <c r="X5" s="3" t="s">
        <v>37</v>
      </c>
      <c r="Y5" s="3" t="s">
        <v>38</v>
      </c>
      <c r="Z5" s="3">
        <f>Real!H14+Real!F29+Real!F47</f>
        <v>0</v>
      </c>
      <c r="AA5" s="3">
        <f>Real!F14+Real!H29+Real!H47</f>
        <v>0</v>
      </c>
      <c r="AB5" s="3">
        <f>Z5-AA5</f>
        <v>0</v>
      </c>
      <c r="AC5" s="3">
        <f>IF(Real!H14="",0,1)+IF(Real!F29="",0,1)+IF(Real!F47="",0,1)</f>
        <v>0</v>
      </c>
      <c r="AD5" s="3">
        <f>IF(Real!H14="",0,IF(Real!H14&gt;Real!F14,3,IF(Real!F14&gt;Real!H14,0,1)))+IF(Real!F29="",0,IF(Real!F29&gt;Real!H29,3,IF(Real!H29&gt;Real!F29,0,1)))+IF(Real!F47="",0,IF(Real!F47&gt;Real!H47,3,IF(Real!H47&gt;Real!F47,0,1)))</f>
        <v>0</v>
      </c>
      <c r="AG5">
        <f>IF(Real!F47&gt;Real!H47,1,0)</f>
        <v>0</v>
      </c>
      <c r="AI5">
        <f>IF(Real!H14&gt;Real!F14,1,0)</f>
        <v>0</v>
      </c>
      <c r="AK5">
        <f>IF(Real!F29&gt;Real!H29,1,0)</f>
        <v>0</v>
      </c>
      <c r="AL5">
        <f>SUM(AF5:AG5,AI5)</f>
        <v>0</v>
      </c>
      <c r="AM5">
        <f>SUM(AI5:AK5)</f>
        <v>0</v>
      </c>
      <c r="AN5">
        <f>SUM(AG5,AH5,AK5)</f>
        <v>0</v>
      </c>
      <c r="AP5">
        <f>SUM(AF5:AK5)</f>
        <v>0</v>
      </c>
    </row>
    <row r="6" spans="2:42" x14ac:dyDescent="0.35">
      <c r="B6" s="3">
        <v>4</v>
      </c>
      <c r="C6" s="3" t="s">
        <v>39</v>
      </c>
      <c r="D6" s="3" t="s">
        <v>40</v>
      </c>
      <c r="E6" s="3">
        <f>Real!H7+Real!F23+Real!F38</f>
        <v>0</v>
      </c>
      <c r="F6" s="3">
        <f>Real!F7+Real!H23+Real!H38</f>
        <v>0</v>
      </c>
      <c r="G6" s="3">
        <f>E6-F6</f>
        <v>0</v>
      </c>
      <c r="H6" s="3">
        <f>IF(Real!H7="",0,1)+IF(Real!F23="",0,1)+IF(Real!F38="",0,1)</f>
        <v>0</v>
      </c>
      <c r="I6" s="3">
        <f>IF(Real!H7="",0,IF(Real!H7&gt;Real!F7,3,IF(Real!F7&gt;Real!H7,0,1)))+IF(Real!F23="",0,IF(Real!F23&gt;Real!H23,3,IF(Real!H23&gt;Real!F23,0,1)))+IF(Real!F38="",0,IF(Real!F38&gt;Real!H38,3,IF(Real!H38&gt;Real!F38,0,1)))</f>
        <v>0</v>
      </c>
      <c r="M6">
        <f>IF(Real!F38&gt;Real!H38,1,0)</f>
        <v>0</v>
      </c>
      <c r="O6">
        <f>IF(Real!F23&gt;Real!H23,1,0)</f>
        <v>0</v>
      </c>
      <c r="P6">
        <f>IF(Real!H7&gt;Real!F7,1,0)</f>
        <v>0</v>
      </c>
      <c r="R6">
        <f>SUM(N6:P6)</f>
        <v>0</v>
      </c>
      <c r="S6">
        <f>SUM(L6,M6,P6)</f>
        <v>0</v>
      </c>
      <c r="T6">
        <f>SUM(K6,M6,O6)</f>
        <v>0</v>
      </c>
      <c r="U6">
        <f>SUM(K6:P6)</f>
        <v>0</v>
      </c>
      <c r="W6" s="3">
        <v>4</v>
      </c>
      <c r="X6" s="3" t="s">
        <v>41</v>
      </c>
      <c r="Y6" s="3" t="s">
        <v>42</v>
      </c>
      <c r="Z6" s="3">
        <f>Real!H15+Real!H29+Real!F48</f>
        <v>0</v>
      </c>
      <c r="AA6" s="3">
        <f>Real!F15+Real!F29+Real!H48</f>
        <v>0</v>
      </c>
      <c r="AB6" s="3">
        <f>Z6-AA6</f>
        <v>0</v>
      </c>
      <c r="AC6" s="3">
        <f>IF(Real!H15="",0,1)+IF(Real!H29="",0,1)+IF(Real!F48="",0,1)</f>
        <v>0</v>
      </c>
      <c r="AD6" s="3">
        <f>IF(Real!H15="",0,IF(Real!H15&gt;Real!F15,3,IF(Real!F15&gt;Real!H15,0,1)))+IF(Real!H29="",0,IF(Real!H29&gt;Real!F29,3,IF(Real!F29&gt;Real!H29,0,1)))+IF(Real!F48="",0,IF(Real!F48&gt;Real!H48,3,IF(Real!H48&gt;Real!F48,0,1)))</f>
        <v>0</v>
      </c>
      <c r="AH6">
        <f>IF(Real!H15&gt;Real!F15,1,0)</f>
        <v>0</v>
      </c>
      <c r="AJ6">
        <f>IF(Real!F48&gt;Real!H48,1,0)</f>
        <v>0</v>
      </c>
      <c r="AK6">
        <f>IF(Real!H29&gt;Real!F29,1,0)</f>
        <v>0</v>
      </c>
      <c r="AM6">
        <f>SUM(AI6:AK6)</f>
        <v>0</v>
      </c>
      <c r="AN6">
        <f>SUM(AG6,AH6,AK6)</f>
        <v>0</v>
      </c>
      <c r="AO6">
        <f>SUM(AF6,AH6,AJ6)</f>
        <v>0</v>
      </c>
      <c r="AP6">
        <f>SUM(AF6:AK6)</f>
        <v>0</v>
      </c>
    </row>
    <row r="9" spans="2:42" x14ac:dyDescent="0.35">
      <c r="B9" s="1" t="s">
        <v>7</v>
      </c>
      <c r="C9" s="1" t="s">
        <v>43</v>
      </c>
      <c r="D9" s="1" t="s">
        <v>9</v>
      </c>
      <c r="E9" s="1" t="s">
        <v>10</v>
      </c>
      <c r="F9" s="1" t="s">
        <v>11</v>
      </c>
      <c r="G9" s="1" t="s">
        <v>12</v>
      </c>
      <c r="H9" s="1" t="s">
        <v>13</v>
      </c>
      <c r="I9" s="1" t="s">
        <v>14</v>
      </c>
      <c r="K9" s="6" t="s">
        <v>15</v>
      </c>
      <c r="L9" s="6" t="s">
        <v>16</v>
      </c>
      <c r="M9" s="6" t="s">
        <v>17</v>
      </c>
      <c r="N9" s="6" t="s">
        <v>18</v>
      </c>
      <c r="O9" s="6" t="s">
        <v>19</v>
      </c>
      <c r="P9" s="6" t="s">
        <v>20</v>
      </c>
      <c r="Q9" s="6" t="s">
        <v>21</v>
      </c>
      <c r="R9" s="6" t="s">
        <v>22</v>
      </c>
      <c r="S9" s="6" t="s">
        <v>23</v>
      </c>
      <c r="T9" s="6" t="s">
        <v>24</v>
      </c>
      <c r="U9" s="6" t="s">
        <v>25</v>
      </c>
      <c r="W9" s="1" t="s">
        <v>7</v>
      </c>
      <c r="X9" s="1" t="s">
        <v>44</v>
      </c>
      <c r="Y9" s="1" t="s">
        <v>9</v>
      </c>
      <c r="Z9" s="1" t="s">
        <v>10</v>
      </c>
      <c r="AA9" s="1" t="s">
        <v>11</v>
      </c>
      <c r="AB9" s="1" t="s">
        <v>12</v>
      </c>
      <c r="AC9" s="1" t="s">
        <v>13</v>
      </c>
      <c r="AD9" s="1" t="s">
        <v>14</v>
      </c>
      <c r="AF9" s="6" t="s">
        <v>15</v>
      </c>
      <c r="AG9" s="6" t="s">
        <v>16</v>
      </c>
      <c r="AH9" s="6" t="s">
        <v>17</v>
      </c>
      <c r="AI9" s="6" t="s">
        <v>18</v>
      </c>
      <c r="AJ9" s="6" t="s">
        <v>19</v>
      </c>
      <c r="AK9" s="6" t="s">
        <v>20</v>
      </c>
      <c r="AL9" s="6" t="s">
        <v>21</v>
      </c>
      <c r="AM9" s="6" t="s">
        <v>22</v>
      </c>
      <c r="AN9" s="6" t="s">
        <v>23</v>
      </c>
      <c r="AO9" s="6" t="s">
        <v>24</v>
      </c>
      <c r="AP9" s="6" t="s">
        <v>25</v>
      </c>
    </row>
    <row r="10" spans="2:42" x14ac:dyDescent="0.35">
      <c r="B10" s="3">
        <v>1</v>
      </c>
      <c r="C10" s="3" t="s">
        <v>45</v>
      </c>
      <c r="D10" s="3" t="s">
        <v>46</v>
      </c>
      <c r="E10" s="3">
        <f>Real!F6+Real!F24+Real!H39</f>
        <v>0</v>
      </c>
      <c r="F10" s="3">
        <f>Real!H6+Real!H24+Real!F39</f>
        <v>0</v>
      </c>
      <c r="G10" s="3">
        <f>E10-F10</f>
        <v>0</v>
      </c>
      <c r="H10" s="3">
        <f>IF(Real!F6="",0,1)+IF(Real!F24="",0,1)+IF(Real!H39="",0,1)</f>
        <v>0</v>
      </c>
      <c r="I10" s="3">
        <f>IF(Real!F6="",0,IF(Real!F6&gt;Real!H6,3,IF(Real!H6&gt;Real!F6,0,1)))+IF(Real!F24="",0,IF(Real!F24&gt;Real!H24,3,IF(Real!H24&gt;Real!F24,0,1)))+IF(Real!F39="",0,IF(Real!H39&gt;Real!F39,3,IF(Real!F39&gt;Real!H39,0,1)))</f>
        <v>0</v>
      </c>
      <c r="K10">
        <f>IF(Real!F6&gt;Real!H6,1,0)</f>
        <v>0</v>
      </c>
      <c r="L10">
        <f>IF(Real!F24&gt;Real!H24,1,0)</f>
        <v>0</v>
      </c>
      <c r="M10">
        <f>IF(Real!H39&gt;Real!F39,1,0)</f>
        <v>0</v>
      </c>
      <c r="Q10">
        <f>SUM(K10:L10,N10)</f>
        <v>0</v>
      </c>
      <c r="S10">
        <f>SUM(L10,M10,P10)</f>
        <v>0</v>
      </c>
      <c r="T10">
        <f>SUM(K10,M10,O10)</f>
        <v>0</v>
      </c>
      <c r="U10">
        <f>SUM(K10:P10)</f>
        <v>0</v>
      </c>
      <c r="W10" s="3">
        <v>1</v>
      </c>
      <c r="X10" s="3" t="s">
        <v>47</v>
      </c>
      <c r="Y10" s="3" t="s">
        <v>48</v>
      </c>
      <c r="Z10" s="3">
        <f>Real!F16+Real!F30+Real!H45</f>
        <v>0</v>
      </c>
      <c r="AA10" s="3">
        <f>Real!H16+Real!H30+Real!F45</f>
        <v>0</v>
      </c>
      <c r="AB10" s="3">
        <f>Z10-AA10</f>
        <v>0</v>
      </c>
      <c r="AC10" s="3">
        <f>IF(Real!F16="",0,1)+IF(Real!F30="",0,1)+IF(Real!H45="",0,1)</f>
        <v>0</v>
      </c>
      <c r="AD10" s="3">
        <f>IF(Real!F16="",0,IF(Real!F16&gt;Real!H16,3,IF(Real!H16&gt;Real!F16,0,1)))+IF(Real!F30="",0,IF(Real!F30&gt;Real!H30,3,IF(Real!H30&gt;Real!F30,0,1)))+IF(Real!F45="",0,IF(Real!H45&gt;Real!F45,3,IF(Real!F45&gt;Real!H45,0,1)))</f>
        <v>0</v>
      </c>
      <c r="AF10">
        <f>IF(Real!F16&gt;Real!H16,1,0)</f>
        <v>0</v>
      </c>
      <c r="AG10">
        <f>IF(Real!F30&gt;Real!H30,1,0)</f>
        <v>0</v>
      </c>
      <c r="AH10">
        <f>IF(Real!H45&gt;Real!F45,1,0)</f>
        <v>0</v>
      </c>
      <c r="AL10">
        <f>SUM(AF10:AG10,AI10)</f>
        <v>0</v>
      </c>
      <c r="AN10">
        <f>SUM(AG10,AH10,AK10)</f>
        <v>0</v>
      </c>
      <c r="AO10">
        <f>SUM(AF10,AH10,AJ10)</f>
        <v>0</v>
      </c>
      <c r="AP10">
        <f>SUM(AF10:AK10)</f>
        <v>0</v>
      </c>
    </row>
    <row r="11" spans="2:42" x14ac:dyDescent="0.35">
      <c r="B11" s="3">
        <v>2</v>
      </c>
      <c r="C11" s="3" t="s">
        <v>49</v>
      </c>
      <c r="D11" s="3" t="s">
        <v>50</v>
      </c>
      <c r="E11" s="3">
        <f>Real!H6+Real!H21+Real!F40</f>
        <v>0</v>
      </c>
      <c r="F11" s="3">
        <f>Real!F6+Real!F21+Real!H40</f>
        <v>0</v>
      </c>
      <c r="G11" s="3">
        <f>E11-F11</f>
        <v>0</v>
      </c>
      <c r="H11" s="3">
        <f>IF(Real!F6="",0,1)+IF(Real!H21="",0,1)+IF(Real!H40="",0,1)</f>
        <v>0</v>
      </c>
      <c r="I11" s="3">
        <f>IF(Real!H6="",0,IF(Real!H6&gt;Real!F6,3,IF(Real!F6&gt;Real!H6,0,1)))+IF(Real!H21="",0,IF(Real!H21&gt;Real!F21,3,IF(Real!F21&gt;Real!H21,0,1)))+IF(Real!F40="",0,IF(Real!F40&gt;Real!H40,3,IF(Real!H40&gt;Real!F40,0,1)))</f>
        <v>0</v>
      </c>
      <c r="K11">
        <f>IF(Real!H6&gt;Real!F6,1,0)</f>
        <v>0</v>
      </c>
      <c r="N11">
        <f>IF(Real!F40&gt;Real!H40,1,0)</f>
        <v>0</v>
      </c>
      <c r="O11">
        <f>IF(Real!H21&gt;Real!F21,1,0)</f>
        <v>0</v>
      </c>
      <c r="Q11">
        <f>SUM(K11:L11,N11)</f>
        <v>0</v>
      </c>
      <c r="R11">
        <f>SUM(N11:P11)</f>
        <v>0</v>
      </c>
      <c r="T11">
        <f>SUM(K11,M11,O11)</f>
        <v>0</v>
      </c>
      <c r="U11">
        <f>SUM(K11:P11)</f>
        <v>0</v>
      </c>
      <c r="W11" s="3">
        <v>2</v>
      </c>
      <c r="X11" s="3" t="s">
        <v>51</v>
      </c>
      <c r="Y11" s="3" t="s">
        <v>52</v>
      </c>
      <c r="Z11" s="3">
        <f>Real!H16+Real!H31+Real!F46</f>
        <v>0</v>
      </c>
      <c r="AA11" s="3">
        <f>Real!F16+Real!F31+Real!H46</f>
        <v>0</v>
      </c>
      <c r="AB11" s="3">
        <f>Z11-AA11</f>
        <v>0</v>
      </c>
      <c r="AC11" s="3">
        <f>IF(Real!H16="",0,1)+IF(Real!H31="",0,1)+IF(Real!F46="",0,1)</f>
        <v>0</v>
      </c>
      <c r="AD11" s="3">
        <f>IF(Real!H16="",0,IF(Real!H16&gt;Real!F16,3,IF(Real!F16&gt;Real!H16,0,1)))+IF(Real!H31="",0,IF(Real!H31&gt;Real!F31,3,IF(Real!F31&gt;Real!H31,0,1)))+IF(Real!F46="",0,IF(Real!F46&gt;Real!H46,3,IF(Real!H46&gt;Real!F46,0,1)))</f>
        <v>0</v>
      </c>
      <c r="AF11">
        <f>IF(Real!H16&gt;Real!F16,1,0)</f>
        <v>0</v>
      </c>
      <c r="AI11">
        <f>IF(Real!F46&gt;Real!H46,1,0)</f>
        <v>0</v>
      </c>
      <c r="AJ11">
        <f>IF(Real!H31&gt;Real!F31,1,0)</f>
        <v>0</v>
      </c>
      <c r="AL11">
        <f>SUM(AF11:AG11,AI11)</f>
        <v>0</v>
      </c>
      <c r="AM11">
        <f>SUM(AI11:AK11)</f>
        <v>0</v>
      </c>
      <c r="AO11">
        <f>SUM(AF11,AH11,AJ11)</f>
        <v>0</v>
      </c>
      <c r="AP11">
        <f>SUM(AF11:AK11)</f>
        <v>0</v>
      </c>
    </row>
    <row r="12" spans="2:42" x14ac:dyDescent="0.35">
      <c r="B12" s="3">
        <v>3</v>
      </c>
      <c r="C12" s="3" t="s">
        <v>53</v>
      </c>
      <c r="D12" s="3" t="s">
        <v>54</v>
      </c>
      <c r="E12" s="3">
        <f>Real!F8+Real!H24+Real!H40</f>
        <v>0</v>
      </c>
      <c r="F12" s="3">
        <f>Real!H8+Real!F24+Real!F40</f>
        <v>0</v>
      </c>
      <c r="G12" s="3">
        <f>E12-F12</f>
        <v>0</v>
      </c>
      <c r="H12" s="3">
        <f>IF(Real!F8="",0,1)+IF(Real!H24="",0,1)+IF(Real!H40="",0,1)</f>
        <v>0</v>
      </c>
      <c r="I12" s="3">
        <f>IF(Real!F8="",0,IF(Real!F8&gt;Real!H8,3,IF(Real!H8&gt;Real!F8,0,1)))+IF(Real!H24="",0,IF(Real!H24&gt;Real!F24,3,IF(Real!F24&gt;Real!H24,0,1)))+IF(Real!F40="",0,IF(Real!H40&gt;Real!F40,3,IF(Real!F40&gt;Real!H40,0,1)))</f>
        <v>0</v>
      </c>
      <c r="L12">
        <f>IF(Real!H24&gt;Real!F24,1,0)</f>
        <v>0</v>
      </c>
      <c r="N12">
        <f>IF(Real!H40&gt;Real!F40,1,0)</f>
        <v>0</v>
      </c>
      <c r="P12">
        <f>IF(Real!F8&gt;Real!H8,1,0)</f>
        <v>0</v>
      </c>
      <c r="Q12">
        <f>SUM(K12:L12,N12)</f>
        <v>0</v>
      </c>
      <c r="R12">
        <f>SUM(N12:P12)</f>
        <v>0</v>
      </c>
      <c r="S12">
        <f>SUM(L12,M12,P12)</f>
        <v>0</v>
      </c>
      <c r="U12">
        <f>SUM(K12:P12)</f>
        <v>0</v>
      </c>
      <c r="W12" s="3">
        <v>3</v>
      </c>
      <c r="X12" s="3" t="s">
        <v>55</v>
      </c>
      <c r="Y12" s="3" t="s">
        <v>56</v>
      </c>
      <c r="Z12" s="3">
        <f>Real!F13+Real!H30+Real!H46</f>
        <v>0</v>
      </c>
      <c r="AA12" s="3">
        <f>Real!H13+Real!F30+Real!F46</f>
        <v>0</v>
      </c>
      <c r="AB12" s="3">
        <f>Z12-AA12</f>
        <v>0</v>
      </c>
      <c r="AC12" s="3">
        <f>IF(Real!F13="",0,1)+IF(Real!H30="",0,1)+IF(Real!H46="",0,1)</f>
        <v>0</v>
      </c>
      <c r="AD12" s="3">
        <f>IF(Real!F13="",0,IF(Real!F13&gt;Real!H13,3,IF(Real!H13&gt;Real!F13,0,1)))+IF(Real!H30="",0,IF(Real!H30&gt;Real!F30,3,IF(Real!F30&gt;Real!H30,0,1)))+IF(Real!F46="",0,IF(Real!H46&gt;Real!F46,3,IF(Real!F46&gt;Real!H46,0,1)))</f>
        <v>0</v>
      </c>
      <c r="AG12">
        <f>IF(Real!H30&gt;Real!F30,1,0)</f>
        <v>0</v>
      </c>
      <c r="AI12">
        <f>IF(Real!H46&gt;Real!F46,1,0)</f>
        <v>0</v>
      </c>
      <c r="AK12">
        <f>IF(Real!F13&gt;Real!H13,1,0)</f>
        <v>0</v>
      </c>
      <c r="AL12">
        <f>SUM(AF12:AG12,AI12)</f>
        <v>0</v>
      </c>
      <c r="AM12">
        <f>SUM(AI12:AK12)</f>
        <v>0</v>
      </c>
      <c r="AN12">
        <f>SUM(AG12,AH12,AK12)</f>
        <v>0</v>
      </c>
      <c r="AP12">
        <f>SUM(AF12:AK12)</f>
        <v>0</v>
      </c>
    </row>
    <row r="13" spans="2:42" x14ac:dyDescent="0.35">
      <c r="B13" s="3">
        <v>4</v>
      </c>
      <c r="C13" s="3" t="s">
        <v>57</v>
      </c>
      <c r="D13" s="3" t="s">
        <v>58</v>
      </c>
      <c r="E13" s="3">
        <f>Real!H8+Real!F21+Real!F39</f>
        <v>0</v>
      </c>
      <c r="F13" s="3">
        <f>Real!F8+Real!H21+Real!H39</f>
        <v>0</v>
      </c>
      <c r="G13" s="3">
        <f>E13-F13</f>
        <v>0</v>
      </c>
      <c r="H13" s="3">
        <f>IF(Real!H8="",0,1)+IF(Real!F21="",0,1)+IF(Real!F39="",0,1)</f>
        <v>0</v>
      </c>
      <c r="I13" s="3">
        <f>IF(Real!H8="",0,IF(Real!H8&gt;Real!F8,3,IF(Real!F8&gt;Real!H8,0,1)))+IF(Real!F21="",0,IF(Real!F21&gt;Real!H21,3,IF(Real!H21&gt;Real!F21,0,1)))+IF(Real!F39="",0,IF(Real!F39&gt;Real!H39,3,IF(Real!H39&gt;Real!F39,0,1)))</f>
        <v>0</v>
      </c>
      <c r="M13">
        <f>IF(Real!F39&gt;Real!H39,1,0)</f>
        <v>0</v>
      </c>
      <c r="O13">
        <f>IF(Real!F21&gt;Real!H21,1,0)</f>
        <v>0</v>
      </c>
      <c r="P13">
        <f>IF(Real!H8&gt;Real!F8,1,0)</f>
        <v>0</v>
      </c>
      <c r="R13">
        <f>SUM(N13:P13)</f>
        <v>0</v>
      </c>
      <c r="S13">
        <f>SUM(L13,M13,P13)</f>
        <v>0</v>
      </c>
      <c r="T13">
        <f>SUM(K13,M13,O13)</f>
        <v>0</v>
      </c>
      <c r="U13">
        <f>SUM(K13:P13)</f>
        <v>0</v>
      </c>
      <c r="W13" s="3">
        <v>4</v>
      </c>
      <c r="X13" s="3" t="s">
        <v>59</v>
      </c>
      <c r="Y13" s="3" t="s">
        <v>60</v>
      </c>
      <c r="Z13" s="3">
        <f>Real!H13+Real!F31+Real!F45</f>
        <v>0</v>
      </c>
      <c r="AA13" s="3">
        <f>Real!F13+Real!H31+Real!H45</f>
        <v>0</v>
      </c>
      <c r="AB13" s="3">
        <f>Z13-AA13</f>
        <v>0</v>
      </c>
      <c r="AC13" s="3">
        <f>IF(Real!H13="",0,1)+IF(Real!F31="",0,1)+IF(Real!F45="",0,1)</f>
        <v>0</v>
      </c>
      <c r="AD13" s="3">
        <f>IF(Real!H13="",0,IF(Real!H13&gt;Real!F13,3,IF(Real!F13&gt;Real!H13,0,1)))+IF(Real!F31="",0,IF(Real!F31&gt;Real!H31,3,IF(Real!H31&gt;Real!F31,0,1)))+IF(Real!F45="",0,IF(Real!F45&gt;Real!H45,3,IF(Real!H45&gt;Real!F45,0,1)))</f>
        <v>0</v>
      </c>
      <c r="AH13">
        <f>IF(Real!F45&gt;Real!H45,1,0)</f>
        <v>0</v>
      </c>
      <c r="AJ13">
        <f>IF(Real!F31&gt;Real!H31,1,0)</f>
        <v>0</v>
      </c>
      <c r="AK13">
        <f>IF(Real!H13&gt;Real!F13,1,0)</f>
        <v>0</v>
      </c>
      <c r="AM13">
        <f>SUM(AI13:AK13)</f>
        <v>0</v>
      </c>
      <c r="AN13">
        <f>SUM(AG13,AH13,AK13)</f>
        <v>0</v>
      </c>
      <c r="AO13">
        <f>SUM(AF13,AH13,AJ13)</f>
        <v>0</v>
      </c>
      <c r="AP13">
        <f>SUM(AF13:AK13)</f>
        <v>0</v>
      </c>
    </row>
    <row r="16" spans="2:42" x14ac:dyDescent="0.35">
      <c r="B16" s="1" t="s">
        <v>61</v>
      </c>
      <c r="C16" s="1" t="s">
        <v>62</v>
      </c>
      <c r="D16" s="1" t="s">
        <v>9</v>
      </c>
      <c r="E16" s="1" t="s">
        <v>10</v>
      </c>
      <c r="F16" s="1" t="s">
        <v>11</v>
      </c>
      <c r="G16" s="1" t="s">
        <v>12</v>
      </c>
      <c r="H16" s="1" t="s">
        <v>13</v>
      </c>
      <c r="I16" s="1" t="s">
        <v>14</v>
      </c>
      <c r="K16" s="6" t="s">
        <v>15</v>
      </c>
      <c r="L16" s="6" t="s">
        <v>16</v>
      </c>
      <c r="M16" s="6" t="s">
        <v>17</v>
      </c>
      <c r="N16" s="6" t="s">
        <v>18</v>
      </c>
      <c r="O16" s="6" t="s">
        <v>19</v>
      </c>
      <c r="P16" s="6" t="s">
        <v>20</v>
      </c>
      <c r="Q16" s="6" t="s">
        <v>21</v>
      </c>
      <c r="R16" s="6" t="s">
        <v>22</v>
      </c>
      <c r="S16" s="6" t="s">
        <v>23</v>
      </c>
      <c r="T16" s="6" t="s">
        <v>24</v>
      </c>
      <c r="U16" s="6" t="s">
        <v>25</v>
      </c>
      <c r="W16" s="1" t="s">
        <v>61</v>
      </c>
      <c r="X16" s="1" t="s">
        <v>63</v>
      </c>
      <c r="Y16" s="1" t="s">
        <v>9</v>
      </c>
      <c r="Z16" s="1" t="s">
        <v>10</v>
      </c>
      <c r="AA16" s="1" t="s">
        <v>11</v>
      </c>
      <c r="AB16" s="1" t="s">
        <v>12</v>
      </c>
      <c r="AC16" s="1" t="s">
        <v>13</v>
      </c>
      <c r="AD16" s="1" t="s">
        <v>14</v>
      </c>
      <c r="AF16" s="6" t="s">
        <v>15</v>
      </c>
      <c r="AG16" s="6" t="s">
        <v>16</v>
      </c>
      <c r="AH16" s="6" t="s">
        <v>17</v>
      </c>
      <c r="AI16" s="6" t="s">
        <v>18</v>
      </c>
      <c r="AJ16" s="6" t="s">
        <v>19</v>
      </c>
      <c r="AK16" s="6" t="s">
        <v>20</v>
      </c>
      <c r="AL16" s="6" t="s">
        <v>21</v>
      </c>
      <c r="AM16" s="6" t="s">
        <v>22</v>
      </c>
      <c r="AN16" s="6" t="s">
        <v>23</v>
      </c>
      <c r="AO16" s="6" t="s">
        <v>24</v>
      </c>
      <c r="AP16" s="6" t="s">
        <v>25</v>
      </c>
    </row>
    <row r="17" spans="2:42" x14ac:dyDescent="0.35">
      <c r="B17" s="3">
        <v>1</v>
      </c>
      <c r="C17" s="3" t="s">
        <v>64</v>
      </c>
      <c r="D17" s="3" t="s">
        <v>65</v>
      </c>
      <c r="E17" s="3">
        <f>Real!F9+Real!F28+Real!H43</f>
        <v>0</v>
      </c>
      <c r="F17" s="3">
        <f>Real!H9+Real!H28+Real!F43</f>
        <v>0</v>
      </c>
      <c r="G17" s="3">
        <f>E17-F17</f>
        <v>0</v>
      </c>
      <c r="H17" s="3">
        <f>IF(Real!F9="",0,1)+IF(Real!F28="",0,1)+IF(Real!H43="",0,1)</f>
        <v>0</v>
      </c>
      <c r="I17" s="3">
        <f>IF(Real!F9="",0,IF(Real!F9&gt;Real!H9,3,IF(Real!H9&gt;Real!F9,0,1)))+IF(Real!F28="",0,IF(Real!F28&gt;Real!H28,3,IF(Real!H28&gt;Real!F28,0,1)))+IF(Real!F43="",0,IF(Real!H43&gt;Real!F43,3,IF(Real!F43&gt;Real!H43,0,1)))</f>
        <v>0</v>
      </c>
      <c r="K17">
        <f>IF(Real!F9&gt;Real!H9,1,0)</f>
        <v>0</v>
      </c>
      <c r="L17">
        <f>IF(Real!F28&gt;Real!H28,1,0)</f>
        <v>0</v>
      </c>
      <c r="M17">
        <f>IF(Real!H43&gt;Real!F43,1,0)</f>
        <v>0</v>
      </c>
      <c r="Q17">
        <f>SUM(K17:L17,N17)</f>
        <v>0</v>
      </c>
      <c r="S17">
        <f>SUM(L17,M17,P17)</f>
        <v>0</v>
      </c>
      <c r="T17">
        <f>SUM(K17,M17,O17)</f>
        <v>0</v>
      </c>
      <c r="U17">
        <f>SUM(K17:P17)</f>
        <v>0</v>
      </c>
      <c r="W17" s="3">
        <v>1</v>
      </c>
      <c r="X17" s="3" t="s">
        <v>66</v>
      </c>
      <c r="Y17" s="3" t="s">
        <v>67</v>
      </c>
      <c r="Z17" s="3">
        <f>Real!F20+Real!F35+Real!H52</f>
        <v>0</v>
      </c>
      <c r="AA17" s="3">
        <f>Real!H20+Real!H35+Real!F52</f>
        <v>0</v>
      </c>
      <c r="AB17" s="3">
        <f>Z17-AA17</f>
        <v>0</v>
      </c>
      <c r="AC17" s="3">
        <f>IF(Real!F20="",0,1)+IF(Real!F35="",0,1)+IF(Real!H52="",0,1)</f>
        <v>0</v>
      </c>
      <c r="AD17" s="3">
        <f>IF(Real!F20="",0,IF(Real!F20&gt;Real!H20,3,IF(Real!H20&gt;Real!F20,0,1)))+IF(Real!F35="",0,IF(Real!F35&gt;Real!H35,3,IF(Real!H35&gt;Real!F35,0,1)))+IF(Real!F52="",0,IF(Real!H52&gt;Real!F52,3,IF(Real!F52&gt;Real!H52,0,1)))</f>
        <v>0</v>
      </c>
      <c r="AF17">
        <f>IF(Real!F20&gt;Real!H20,1,0)</f>
        <v>0</v>
      </c>
      <c r="AG17">
        <f>IF(Real!F35&gt;Real!H35,1,0)</f>
        <v>0</v>
      </c>
      <c r="AH17">
        <f>IF(Real!H52&gt;Real!F52,1,0)</f>
        <v>0</v>
      </c>
      <c r="AL17">
        <f>SUM(AF17:AG17,AI17)</f>
        <v>0</v>
      </c>
      <c r="AN17">
        <f>SUM(AG17,AH17,AK17)</f>
        <v>0</v>
      </c>
      <c r="AO17">
        <f>SUM(AF17,AH17,AJ17)</f>
        <v>0</v>
      </c>
      <c r="AP17">
        <f>SUM(AF17:AK17)</f>
        <v>0</v>
      </c>
    </row>
    <row r="18" spans="2:42" x14ac:dyDescent="0.35">
      <c r="B18" s="3">
        <v>2</v>
      </c>
      <c r="C18" s="3" t="s">
        <v>68</v>
      </c>
      <c r="D18" s="3" t="s">
        <v>69</v>
      </c>
      <c r="E18" s="3">
        <f>Real!H9+Real!H26+Real!F44</f>
        <v>0</v>
      </c>
      <c r="F18" s="3">
        <f>Real!F9+Real!F26+Real!H44</f>
        <v>0</v>
      </c>
      <c r="G18" s="3">
        <f>E18-F18</f>
        <v>0</v>
      </c>
      <c r="H18" s="3">
        <f>IF(Real!H9="",0,1)+IF(Real!H26="",0,1)+IF(Real!F44="",0,1)</f>
        <v>0</v>
      </c>
      <c r="I18" s="3">
        <f>IF(Real!H9="",0,IF(Real!H9&gt;Real!F9,3,IF(Real!F9&gt;Real!H9,0,1)))+IF(Real!H26="",0,IF(Real!H26&gt;Real!F26,3,IF(Real!F26&gt;Real!H26,0,1)))+IF(Real!F44="",0,IF(Real!F44&gt;Real!H44,3,IF(Real!H44&gt;Real!F44,0,1)))</f>
        <v>0</v>
      </c>
      <c r="K18">
        <f>IF(Real!H9&gt;Real!F9,1,0)</f>
        <v>0</v>
      </c>
      <c r="N18">
        <f>IF(Real!F44&gt;Real!H44,1,0)</f>
        <v>0</v>
      </c>
      <c r="O18">
        <f>IF(Real!H26&gt;Real!F26,1,0)</f>
        <v>0</v>
      </c>
      <c r="Q18">
        <f>SUM(K18:L18,N18)</f>
        <v>0</v>
      </c>
      <c r="R18">
        <f>SUM(N18:P18)</f>
        <v>0</v>
      </c>
      <c r="T18">
        <f>SUM(K18,M18,O18)</f>
        <v>0</v>
      </c>
      <c r="U18">
        <f>SUM(K18:P18)</f>
        <v>0</v>
      </c>
      <c r="W18" s="3">
        <v>2</v>
      </c>
      <c r="X18" s="3" t="s">
        <v>70</v>
      </c>
      <c r="Y18" s="3" t="s">
        <v>71</v>
      </c>
      <c r="Z18" s="3">
        <f>Real!H20+Real!H33+Real!F51</f>
        <v>0</v>
      </c>
      <c r="AA18" s="3">
        <f>Real!F20+Real!F33+Real!H51</f>
        <v>0</v>
      </c>
      <c r="AB18" s="3">
        <f>Z18-AA18</f>
        <v>0</v>
      </c>
      <c r="AC18" s="3">
        <f>IF(Real!H20="",0,1)+IF(Real!H33="",0,1)+IF(Real!F51="",0,1)</f>
        <v>0</v>
      </c>
      <c r="AD18" s="3">
        <f>IF(Real!H20="",0,IF(Real!H20&gt;Real!F20,3,IF(Real!F20&gt;Real!H20,0,1)))+IF(Real!H33="",0,IF(Real!H33&gt;Real!F33,3,IF(Real!F33&gt;Real!H33,0,1)))+IF(Real!F51="",0,IF(Real!F51&gt;Real!H51,3,IF(Real!H51&gt;Real!F51,0,1)))</f>
        <v>0</v>
      </c>
      <c r="AF18">
        <f>IF(Real!H20&gt;Real!F20,1,0)</f>
        <v>0</v>
      </c>
      <c r="AI18">
        <f>IF(Real!F51&gt;Real!H51,1,0)</f>
        <v>0</v>
      </c>
      <c r="AJ18">
        <f>IF(Real!H33&gt;Real!F33,1,0)</f>
        <v>0</v>
      </c>
      <c r="AL18">
        <f>SUM(AF18:AG18,AI18)</f>
        <v>0</v>
      </c>
      <c r="AM18">
        <f>SUM(AI18:AK18)</f>
        <v>0</v>
      </c>
      <c r="AO18">
        <f>SUM(AF18,AH18,AJ18)</f>
        <v>0</v>
      </c>
      <c r="AP18">
        <f>SUM(AF18:AK18)</f>
        <v>0</v>
      </c>
    </row>
    <row r="19" spans="2:42" x14ac:dyDescent="0.35">
      <c r="B19" s="3">
        <v>3</v>
      </c>
      <c r="C19" s="3" t="s">
        <v>72</v>
      </c>
      <c r="D19" s="3" t="s">
        <v>73</v>
      </c>
      <c r="E19" s="3">
        <f>Real!F11+Real!H28+Real!H44</f>
        <v>0</v>
      </c>
      <c r="F19" s="3">
        <f>Real!H11+Real!F28+Real!F44</f>
        <v>0</v>
      </c>
      <c r="G19" s="3">
        <f>E19-F19</f>
        <v>0</v>
      </c>
      <c r="H19" s="3">
        <f>IF(Real!F11="",0,1)+IF(Real!H28="",0,1)+IF(Real!H44="",0,1)</f>
        <v>0</v>
      </c>
      <c r="I19" s="3">
        <f>IF(Real!F11="",0,IF(Real!F11&gt;Real!H11,3,IF(Real!H11&gt;Real!F11,0,1)))+IF(Real!H28="",0,IF(Real!H28&gt;Real!F28,3,IF(Real!F28&gt;Real!H28,0,1)))+IF(Real!F44="",0,IF(Real!H44&gt;Real!F44,3,IF(Real!F44&gt;Real!H44,0,1)))</f>
        <v>0</v>
      </c>
      <c r="L19">
        <f>IF(Real!H28&gt;Real!F28,1,0)</f>
        <v>0</v>
      </c>
      <c r="N19">
        <f>IF(Real!H44&gt;Real!F44,1,0)</f>
        <v>0</v>
      </c>
      <c r="P19">
        <f>IF(Real!F11&gt;Real!H11,1,0)</f>
        <v>0</v>
      </c>
      <c r="Q19">
        <f>SUM(K19:L19,N19)</f>
        <v>0</v>
      </c>
      <c r="R19">
        <f>SUM(N19:P19)</f>
        <v>0</v>
      </c>
      <c r="S19">
        <f>SUM(L19,M19,P19)</f>
        <v>0</v>
      </c>
      <c r="U19">
        <f>SUM(K19:P19)</f>
        <v>0</v>
      </c>
      <c r="W19" s="3">
        <v>3</v>
      </c>
      <c r="X19" s="3" t="s">
        <v>74</v>
      </c>
      <c r="Y19" s="3" t="s">
        <v>75</v>
      </c>
      <c r="Z19" s="3">
        <f>Real!F17+Real!H35+Real!H51</f>
        <v>0</v>
      </c>
      <c r="AA19" s="3">
        <f>Real!H17+Real!F35+Real!F51</f>
        <v>0</v>
      </c>
      <c r="AB19" s="3">
        <f>Z19-AA19</f>
        <v>0</v>
      </c>
      <c r="AC19" s="3">
        <f>IF(Real!F17="",0,1)+IF(Real!H35="",0,1)+IF(Real!H51="",0,1)</f>
        <v>0</v>
      </c>
      <c r="AD19" s="3">
        <f>IF(Real!F17="",0,IF(Real!F17&gt;Real!H17,3,IF(Real!H17&gt;Real!F17,0,1)))+IF(Real!H35="",0,IF(Real!H35&gt;Real!F35,3,IF(Real!F35&gt;Real!H35,0,1)))+IF(Real!F51="",0,IF(Real!H51&gt;Real!F51,3,IF(Real!F51&gt;Real!H51,0,1)))</f>
        <v>0</v>
      </c>
      <c r="AG19">
        <f>IF(Real!H35&gt;Real!F35,1,0)</f>
        <v>0</v>
      </c>
      <c r="AI19">
        <f>IF(Real!H51&gt;Real!F51,1,0)</f>
        <v>0</v>
      </c>
      <c r="AK19">
        <f>IF(Real!F17&gt;Real!H17,1,0)</f>
        <v>0</v>
      </c>
      <c r="AL19">
        <f>SUM(AF19:AG19,AI19)</f>
        <v>0</v>
      </c>
      <c r="AM19">
        <f>SUM(AI19:AK19)</f>
        <v>0</v>
      </c>
      <c r="AN19">
        <f>SUM(AG19,AH19,AK19)</f>
        <v>0</v>
      </c>
      <c r="AP19">
        <f>SUM(AF19:AK19)</f>
        <v>0</v>
      </c>
    </row>
    <row r="20" spans="2:42" x14ac:dyDescent="0.35">
      <c r="B20" s="3">
        <v>4</v>
      </c>
      <c r="C20" s="3" t="s">
        <v>76</v>
      </c>
      <c r="D20" s="3" t="s">
        <v>77</v>
      </c>
      <c r="E20" s="3">
        <f>Real!H11+Real!F26+Real!F43</f>
        <v>0</v>
      </c>
      <c r="F20" s="3">
        <f>Real!F11+Real!H26+Real!H43</f>
        <v>0</v>
      </c>
      <c r="G20" s="3">
        <f>E20-F20</f>
        <v>0</v>
      </c>
      <c r="H20" s="3">
        <f>IF(Real!H11="",0,1)+IF(Real!F26="",0,1)+IF(Real!F43="",0,1)</f>
        <v>0</v>
      </c>
      <c r="I20" s="3">
        <f>IF(Real!H11="",0,IF(Real!H11&gt;Real!F11,3,IF(Real!F11&gt;Real!H11,0,1)))+IF(Real!F26="",0,IF(Real!F26&gt;Real!H26,3,IF(Real!H26&gt;Real!F26,0,1)))+IF(Real!F43="",0,IF(Real!F43&gt;Real!H43,3,IF(Real!H43&gt;Real!F43,0,1)))</f>
        <v>0</v>
      </c>
      <c r="M20">
        <f>IF(Real!F43&gt;Real!H43,1,0)</f>
        <v>0</v>
      </c>
      <c r="O20">
        <f>IF(Real!F26&gt;Real!H26,1,0)</f>
        <v>0</v>
      </c>
      <c r="P20">
        <f>IF(Real!H11&gt;Real!F11,1,0)</f>
        <v>0</v>
      </c>
      <c r="R20">
        <f>SUM(N20:P20)</f>
        <v>0</v>
      </c>
      <c r="S20">
        <f>SUM(L20,M20,P20)</f>
        <v>0</v>
      </c>
      <c r="T20">
        <f>SUM(K20,M20,O20)</f>
        <v>0</v>
      </c>
      <c r="U20">
        <f>SUM(K20:P20)</f>
        <v>0</v>
      </c>
      <c r="W20" s="3">
        <v>4</v>
      </c>
      <c r="X20" s="3" t="s">
        <v>78</v>
      </c>
      <c r="Y20" s="3" t="s">
        <v>79</v>
      </c>
      <c r="Z20" s="3">
        <f>Real!H17+Real!F33+Real!F52</f>
        <v>0</v>
      </c>
      <c r="AA20" s="3">
        <f>Real!F17+Real!H33+Real!H52</f>
        <v>0</v>
      </c>
      <c r="AB20" s="3">
        <f>Z20-AA20</f>
        <v>0</v>
      </c>
      <c r="AC20" s="3">
        <f>IF(Real!H17="",0,1)+IF(Real!F33="",0,1)+IF(Real!F52="",0,1)</f>
        <v>0</v>
      </c>
      <c r="AD20" s="3">
        <f>IF(Real!H17="",0,IF(Real!H17&gt;Real!F17,3,IF(Real!F17&gt;Real!H17,0,1)))+IF(Real!F33="",0,IF(Real!F33&gt;Real!H33,3,IF(Real!H33&gt;Real!F33,0,1)))+IF(Real!F52="",0,IF(Real!F52&gt;Real!H52,3,IF(Real!H52&gt;Real!F52,0,1)))</f>
        <v>0</v>
      </c>
      <c r="AH20">
        <f>IF(Real!F52&gt;Real!H52,1,0)</f>
        <v>0</v>
      </c>
      <c r="AJ20">
        <f>IF(Real!F33&gt;Real!H33,1,0)</f>
        <v>0</v>
      </c>
      <c r="AK20">
        <f>IF(Real!H17&gt;Real!F17,1,0)</f>
        <v>0</v>
      </c>
      <c r="AM20">
        <f>SUM(AI20:AK20)</f>
        <v>0</v>
      </c>
      <c r="AN20">
        <f>SUM(AG20,AH20,AK20)</f>
        <v>0</v>
      </c>
      <c r="AO20">
        <f>SUM(AF20,AH20,AJ20)</f>
        <v>0</v>
      </c>
      <c r="AP20">
        <f>SUM(AF20:AK20)</f>
        <v>0</v>
      </c>
    </row>
    <row r="23" spans="2:42" x14ac:dyDescent="0.35">
      <c r="B23" s="1" t="s">
        <v>61</v>
      </c>
      <c r="C23" s="1" t="s">
        <v>80</v>
      </c>
      <c r="D23" s="1" t="s">
        <v>9</v>
      </c>
      <c r="E23" s="1" t="s">
        <v>10</v>
      </c>
      <c r="F23" s="1" t="s">
        <v>11</v>
      </c>
      <c r="G23" s="1" t="s">
        <v>12</v>
      </c>
      <c r="H23" s="1" t="s">
        <v>13</v>
      </c>
      <c r="I23" s="1" t="s">
        <v>14</v>
      </c>
      <c r="K23" s="6" t="s">
        <v>15</v>
      </c>
      <c r="L23" s="6" t="s">
        <v>16</v>
      </c>
      <c r="M23" s="6" t="s">
        <v>17</v>
      </c>
      <c r="N23" s="6" t="s">
        <v>18</v>
      </c>
      <c r="O23" s="6" t="s">
        <v>19</v>
      </c>
      <c r="P23" s="6" t="s">
        <v>20</v>
      </c>
      <c r="Q23" s="6" t="s">
        <v>21</v>
      </c>
      <c r="R23" s="6" t="s">
        <v>22</v>
      </c>
      <c r="S23" s="6" t="s">
        <v>23</v>
      </c>
      <c r="T23" s="6" t="s">
        <v>24</v>
      </c>
      <c r="U23" s="6" t="s">
        <v>25</v>
      </c>
      <c r="W23" s="1" t="s">
        <v>7</v>
      </c>
      <c r="X23" s="1" t="s">
        <v>81</v>
      </c>
      <c r="Y23" s="1" t="s">
        <v>9</v>
      </c>
      <c r="Z23" s="1" t="s">
        <v>10</v>
      </c>
      <c r="AA23" s="1" t="s">
        <v>11</v>
      </c>
      <c r="AB23" s="1" t="s">
        <v>12</v>
      </c>
      <c r="AC23" s="1" t="s">
        <v>13</v>
      </c>
      <c r="AD23" s="1" t="s">
        <v>14</v>
      </c>
      <c r="AF23" s="6" t="s">
        <v>15</v>
      </c>
      <c r="AG23" s="6" t="s">
        <v>16</v>
      </c>
      <c r="AH23" s="6" t="s">
        <v>17</v>
      </c>
      <c r="AI23" s="6" t="s">
        <v>18</v>
      </c>
      <c r="AJ23" s="6" t="s">
        <v>19</v>
      </c>
      <c r="AK23" s="6" t="s">
        <v>20</v>
      </c>
      <c r="AL23" s="6" t="s">
        <v>21</v>
      </c>
      <c r="AM23" s="6" t="s">
        <v>22</v>
      </c>
      <c r="AN23" s="6" t="s">
        <v>23</v>
      </c>
      <c r="AO23" s="6" t="s">
        <v>24</v>
      </c>
      <c r="AP23" s="6" t="s">
        <v>25</v>
      </c>
    </row>
    <row r="24" spans="2:42" x14ac:dyDescent="0.35">
      <c r="B24" s="3">
        <v>1</v>
      </c>
      <c r="C24" s="3" t="s">
        <v>82</v>
      </c>
      <c r="D24" s="3" t="s">
        <v>83</v>
      </c>
      <c r="E24" s="3">
        <f>Real!F12+Real!F27+Real!H42</f>
        <v>0</v>
      </c>
      <c r="F24" s="3">
        <f>Real!H12+Real!H27+Real!F42</f>
        <v>0</v>
      </c>
      <c r="G24" s="3">
        <f>E24-F24</f>
        <v>0</v>
      </c>
      <c r="H24" s="3">
        <f>IF(Real!F12="",0,1)+IF(Real!F27="",0,1)+IF(Real!H42="",0,1)</f>
        <v>0</v>
      </c>
      <c r="I24" s="3">
        <f>IF(Real!F12="",0,IF(Real!F12&gt;Real!H12,3,IF(Real!H12&gt;Real!F12,0,1)))+IF(Real!F27="",0,IF(Real!F27&gt;Real!H27,3,IF(Real!H27&gt;Real!F27,0,1)))+IF(Real!F42="",0,IF(Real!H42&gt;Real!F42,3,IF(Real!F42&gt;Real!H42,0,1)))</f>
        <v>0</v>
      </c>
      <c r="K24">
        <f>IF(Real!F27&gt;Real!H27,1,0)</f>
        <v>0</v>
      </c>
      <c r="L24">
        <f>IF(Real!H42&gt;Real!F42,1,0)</f>
        <v>0</v>
      </c>
      <c r="M24">
        <f>IF(Real!F12&gt;Real!H12,1,0)</f>
        <v>0</v>
      </c>
      <c r="Q24">
        <f>SUM(K24:L24,N24)</f>
        <v>0</v>
      </c>
      <c r="S24">
        <f>SUM(L24,M24,P24)</f>
        <v>0</v>
      </c>
      <c r="T24">
        <f>SUM(K24,M24,O24)</f>
        <v>0</v>
      </c>
      <c r="U24">
        <f>SUM(K24:P24)</f>
        <v>0</v>
      </c>
      <c r="W24" s="3">
        <v>1</v>
      </c>
      <c r="X24" s="3" t="s">
        <v>84</v>
      </c>
      <c r="Y24" s="3" t="s">
        <v>85</v>
      </c>
      <c r="Z24" s="3">
        <f>Real!F19+Real!F36+Real!H50</f>
        <v>0</v>
      </c>
      <c r="AA24" s="3">
        <f>Real!H19+Real!H36+Real!F50</f>
        <v>0</v>
      </c>
      <c r="AB24" s="3">
        <f>Z24-AA24</f>
        <v>0</v>
      </c>
      <c r="AC24" s="3">
        <f>IF(Real!F19="",0,1)+IF(Real!F36="",0,1)+IF(Real!H50="",0,1)</f>
        <v>0</v>
      </c>
      <c r="AD24" s="3">
        <f>IF(Real!F19="",0,IF(Real!F19&gt;Real!H19,3,IF(Real!H19&gt;Real!F19,0,1)))+IF(Real!F36="",0,IF(Real!F36&gt;Real!H36,3,IF(Real!H36&gt;Real!F36,0,1)))+IF(Real!F50="",0,IF(Real!H50&gt;Real!F50,3,IF(Real!F50&gt;Real!H50,0,1)))</f>
        <v>0</v>
      </c>
      <c r="AF24">
        <f>IF(Real!F19&gt;Real!H19,1,0)</f>
        <v>0</v>
      </c>
      <c r="AG24">
        <f>IF(Real!F36&gt;Real!H36,1,0)</f>
        <v>0</v>
      </c>
      <c r="AH24">
        <f>IF(Real!H50&gt;Real!F50,1,0)</f>
        <v>0</v>
      </c>
      <c r="AL24">
        <f>SUM(AF24:AG24,AI24)</f>
        <v>0</v>
      </c>
      <c r="AN24">
        <f>SUM(AG24,AH24,AK24)</f>
        <v>0</v>
      </c>
      <c r="AO24">
        <f>SUM(AF24,AH24,AJ24)</f>
        <v>0</v>
      </c>
      <c r="AP24">
        <f>SUM(AF24:AK24)</f>
        <v>0</v>
      </c>
    </row>
    <row r="25" spans="2:42" x14ac:dyDescent="0.35">
      <c r="B25" s="3">
        <v>2</v>
      </c>
      <c r="C25" s="3" t="s">
        <v>86</v>
      </c>
      <c r="D25" s="3" t="s">
        <v>87</v>
      </c>
      <c r="E25" s="3">
        <f>Real!F10+Real!H27+Real!H41</f>
        <v>0</v>
      </c>
      <c r="F25" s="3">
        <f>Real!H10+Real!F27+Real!F41</f>
        <v>0</v>
      </c>
      <c r="G25" s="3">
        <f>E25-F25</f>
        <v>0</v>
      </c>
      <c r="H25" s="3">
        <f>IF(Real!F10="",0,1)+IF(Real!H27="",0,1)+IF(Real!H41="",0,1)</f>
        <v>0</v>
      </c>
      <c r="I25" s="3">
        <f>IF(Real!H10="",0,IF(Real!H10&gt;Real!F10,3,IF(Real!F10&gt;Real!H10,0,1)))+IF(Real!H27="",0,IF(Real!H27&gt;Real!F27,3,IF(Real!F27&gt;Real!H27,0,1)))+IF(Real!F41="",0,IF(Real!F41&gt;Real!H41,3,IF(Real!H41&gt;Real!F41,0,1)))</f>
        <v>0</v>
      </c>
      <c r="K25">
        <f>IF(Real!H27&gt;Real!F27,1,0)</f>
        <v>0</v>
      </c>
      <c r="N25">
        <f>IF(Real!F10&gt;Real!H10,1,0)</f>
        <v>0</v>
      </c>
      <c r="O25">
        <f>IF(Real!H41&gt;Real!F41,1,0)</f>
        <v>0</v>
      </c>
      <c r="Q25">
        <f>SUM(K25:L25,N25)</f>
        <v>0</v>
      </c>
      <c r="R25">
        <f>SUM(N25:P25)</f>
        <v>0</v>
      </c>
      <c r="T25">
        <f>SUM(K25,M25,O25)</f>
        <v>0</v>
      </c>
      <c r="U25">
        <f>SUM(K25:P25)</f>
        <v>0</v>
      </c>
      <c r="W25" s="3">
        <v>2</v>
      </c>
      <c r="X25" s="3" t="s">
        <v>88</v>
      </c>
      <c r="Y25" s="3" t="s">
        <v>89</v>
      </c>
      <c r="Z25" s="3">
        <f>Real!H19+Real!H34+Real!F49</f>
        <v>0</v>
      </c>
      <c r="AA25" s="3">
        <f>Real!F19+Real!F34+Real!H49</f>
        <v>0</v>
      </c>
      <c r="AB25" s="3">
        <f>Z25-AA25</f>
        <v>0</v>
      </c>
      <c r="AC25" s="3">
        <f>IF(Real!H19="",0,1)+IF(Real!H34="",0,1)+IF(Real!F49="",0,1)</f>
        <v>0</v>
      </c>
      <c r="AD25" s="3">
        <f>IF(Real!H19="",0,IF(Real!H19&gt;Real!F19,3,IF(Real!F19&gt;Real!H19,0,1)))+IF(Real!H34="",0,IF(Real!H34&gt;Real!F34,3,IF(Real!F34&gt;Real!H34,0,1)))+IF(Real!F49="",0,IF(Real!F49&gt;Real!H49,3,IF(Real!H49&gt;Real!F49,0,1)))</f>
        <v>0</v>
      </c>
      <c r="AF25">
        <f>IF(Real!H19&gt;Real!F19,1,0)</f>
        <v>0</v>
      </c>
      <c r="AI25">
        <f>IF(Real!F49&gt;Real!H49,1,0)</f>
        <v>0</v>
      </c>
      <c r="AJ25">
        <f>IF(Real!H34&gt;Real!F34,1,0)</f>
        <v>0</v>
      </c>
      <c r="AL25">
        <f>SUM(AF25:AG25,AI25)</f>
        <v>0</v>
      </c>
      <c r="AM25">
        <f>SUM(AI25:AK25)</f>
        <v>0</v>
      </c>
      <c r="AO25">
        <f>SUM(AF25,AH25,AJ25)</f>
        <v>0</v>
      </c>
      <c r="AP25">
        <f>SUM(AF25:AK25)</f>
        <v>0</v>
      </c>
    </row>
    <row r="26" spans="2:42" x14ac:dyDescent="0.35">
      <c r="B26" s="3">
        <v>3</v>
      </c>
      <c r="C26" s="3" t="s">
        <v>90</v>
      </c>
      <c r="D26" s="3" t="s">
        <v>91</v>
      </c>
      <c r="E26" s="3">
        <f>Real!H10+Real!F25+Real!F42</f>
        <v>0</v>
      </c>
      <c r="F26" s="3">
        <f>Real!F10+Real!H25+Real!H42</f>
        <v>0</v>
      </c>
      <c r="G26" s="3">
        <f>E26-F26</f>
        <v>0</v>
      </c>
      <c r="H26" s="3">
        <f>IF(Real!H10="",0,1)+IF(Real!F25="",0,1)+IF(Real!F42="",0,1)</f>
        <v>0</v>
      </c>
      <c r="I26" s="3">
        <f>IF(Real!H10="",0,IF(Real!H10&gt;Real!F10,3,IF(Real!F10&gt;Real!H10,0,1)))+IF(Real!F25="",0,IF(Real!F25&gt;Real!H25,3,IF(Real!H25&gt;Real!F25,0,1)))+IF(Real!F42="",0,IF(Real!F42&gt;Real!H42,3,IF(Real!H42&gt;Real!F42,0,1)))</f>
        <v>0</v>
      </c>
      <c r="L26">
        <f>IF(Real!F42&gt;Real!H42,1,0)</f>
        <v>0</v>
      </c>
      <c r="N26">
        <f>IF(Real!H10&gt;Real!F10,1,0)</f>
        <v>0</v>
      </c>
      <c r="P26">
        <f>IF(Real!F25&gt;Real!H25,1,0)</f>
        <v>0</v>
      </c>
      <c r="Q26">
        <f>SUM(K26:L26,N26)</f>
        <v>0</v>
      </c>
      <c r="R26">
        <f>SUM(N26:P26)</f>
        <v>0</v>
      </c>
      <c r="S26">
        <f>SUM(L26,M26,P26)</f>
        <v>0</v>
      </c>
      <c r="U26">
        <f>SUM(K26:P26)</f>
        <v>0</v>
      </c>
      <c r="W26" s="3">
        <v>3</v>
      </c>
      <c r="X26" s="3" t="s">
        <v>92</v>
      </c>
      <c r="Y26" s="3" t="s">
        <v>93</v>
      </c>
      <c r="Z26" s="3">
        <f>Real!F18+Real!H36+Real!H49</f>
        <v>0</v>
      </c>
      <c r="AA26" s="3">
        <f>Real!H18+Real!F36+Real!F49</f>
        <v>0</v>
      </c>
      <c r="AB26" s="3">
        <f>Z26-AA26</f>
        <v>0</v>
      </c>
      <c r="AC26" s="3">
        <f>IF(Real!F18="",0,1)+IF(Real!H36="",0,1)+IF(Real!H49="",0,1)</f>
        <v>0</v>
      </c>
      <c r="AD26" s="3">
        <f>IF(Real!F18="",0,IF(Real!F18&gt;Real!H18,3,IF(Real!H18&gt;Real!F18,0,1)))+IF(Real!H36="",0,IF(Real!H36&gt;Real!F36,3,IF(Real!F36&gt;Real!H36,0,1)))+IF(Real!F49="",0,IF(Real!H49&gt;Real!F49,3,IF(Real!F49&gt;Real!H49,0,1)))</f>
        <v>0</v>
      </c>
      <c r="AG26">
        <f>IF(Real!H36&gt;Real!F36,1,0)</f>
        <v>0</v>
      </c>
      <c r="AI26">
        <f>IF(Real!H49&gt;Real!F49,1,0)</f>
        <v>0</v>
      </c>
      <c r="AK26">
        <f>IF(Real!F18&gt;Real!H18,1,0)</f>
        <v>0</v>
      </c>
      <c r="AL26">
        <f>SUM(AF26:AG26,AI26)</f>
        <v>0</v>
      </c>
      <c r="AM26">
        <f>SUM(AI26:AK26)</f>
        <v>0</v>
      </c>
      <c r="AN26">
        <f>SUM(AG26,AH26,AK26)</f>
        <v>0</v>
      </c>
      <c r="AP26">
        <f>SUM(AF26:AK26)</f>
        <v>0</v>
      </c>
    </row>
    <row r="27" spans="2:42" x14ac:dyDescent="0.35">
      <c r="B27" s="3">
        <v>4</v>
      </c>
      <c r="C27" s="3" t="s">
        <v>94</v>
      </c>
      <c r="D27" s="3" t="s">
        <v>95</v>
      </c>
      <c r="E27" s="3">
        <f>Real!H12+Real!H25+Real!F41</f>
        <v>0</v>
      </c>
      <c r="F27" s="3">
        <f>Real!F12+Real!F25+Real!H41</f>
        <v>0</v>
      </c>
      <c r="G27" s="3">
        <f>E27-F27</f>
        <v>0</v>
      </c>
      <c r="H27" s="3">
        <f>IF(Real!H12="",0,1)+IF(Real!H25="",0,1)+IF(Real!F41="",0,1)</f>
        <v>0</v>
      </c>
      <c r="I27" s="3">
        <f>IF(Real!H12="",0,IF(Real!H12&gt;Real!F12,3,IF(Real!F12&gt;Real!H12,0,1)))+IF(Real!H25="",0,IF(Real!H25&gt;Real!F25,3,IF(Real!F25&gt;Real!H25,0,1)))+IF(Real!F41="",0,IF(Real!F41&gt;Real!H41,3,IF(Real!H41&gt;Real!F41,0,1)))</f>
        <v>0</v>
      </c>
      <c r="M27">
        <f>IF(Real!H12&gt;Real!F12,1,0)</f>
        <v>0</v>
      </c>
      <c r="O27">
        <f>IF(Real!F41&gt;Real!H41,1,0)</f>
        <v>0</v>
      </c>
      <c r="P27">
        <f>IF(Real!H25&gt;Real!F25,1,0)</f>
        <v>0</v>
      </c>
      <c r="R27">
        <f>SUM(N27:P27)</f>
        <v>0</v>
      </c>
      <c r="S27">
        <f>SUM(L27,M27,P27)</f>
        <v>0</v>
      </c>
      <c r="T27">
        <f>SUM(K27,M27,O27)</f>
        <v>0</v>
      </c>
      <c r="U27">
        <f>SUM(K27:P27)</f>
        <v>0</v>
      </c>
      <c r="W27" s="3">
        <v>4</v>
      </c>
      <c r="X27" s="3" t="s">
        <v>96</v>
      </c>
      <c r="Y27" s="3" t="s">
        <v>97</v>
      </c>
      <c r="Z27" s="3">
        <f>Real!H18+Real!F34+Real!F50</f>
        <v>0</v>
      </c>
      <c r="AA27" s="3">
        <f>Real!F18+Real!H34+Real!H50</f>
        <v>0</v>
      </c>
      <c r="AB27" s="3">
        <f>Z27-AA27</f>
        <v>0</v>
      </c>
      <c r="AC27" s="3">
        <f>IF(Real!H18="",0,1)+IF(Real!F34="",0,1)+IF(Real!F50="",0,1)</f>
        <v>0</v>
      </c>
      <c r="AD27" s="3">
        <f>IF(Real!H18="",0,IF(Real!H18&gt;Real!F18,3,IF(Real!F18&gt;Real!H18,0,1)))+IF(Real!F34="",0,IF(Real!F34&gt;Real!H34,3,IF(Real!H34&gt;Real!F34,0,1)))+IF(Real!F50="",0,IF(Real!F50&gt;Real!H50,3,IF(Real!H50&gt;Real!F50,0,1)))</f>
        <v>0</v>
      </c>
      <c r="AH27">
        <f>IF(Real!F50&gt;Real!H50,1,0)</f>
        <v>0</v>
      </c>
      <c r="AJ27">
        <f>IF(Real!F34&gt;Real!H34,1,0)</f>
        <v>0</v>
      </c>
      <c r="AK27">
        <f>IF(Real!H18&gt;Real!F18,1,0)</f>
        <v>0</v>
      </c>
      <c r="AM27">
        <f>SUM(AI27:AK27)</f>
        <v>0</v>
      </c>
      <c r="AN27">
        <f>SUM(AG27,AH27,AK27)</f>
        <v>0</v>
      </c>
      <c r="AO27">
        <f>SUM(AF27,AH27,AJ27)</f>
        <v>0</v>
      </c>
      <c r="AP27">
        <f>SUM(AF27:AK27)</f>
        <v>0</v>
      </c>
    </row>
  </sheetData>
  <sortState xmlns:xlrd2="http://schemas.microsoft.com/office/spreadsheetml/2017/richdata2" ref="W24:AD27">
    <sortCondition descending="1" ref="AD24:AD27"/>
    <sortCondition descending="1" ref="AB24:AB27"/>
    <sortCondition descending="1" ref="Z24:Z27"/>
  </sortState>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ores"/>
  <dimension ref="B2:J28"/>
  <sheetViews>
    <sheetView showGridLines="0" zoomScale="70" zoomScaleNormal="70" workbookViewId="0">
      <selection activeCell="C7" sqref="C7"/>
    </sheetView>
  </sheetViews>
  <sheetFormatPr defaultColWidth="8.7265625" defaultRowHeight="14.5" x14ac:dyDescent="0.35"/>
  <cols>
    <col min="1" max="2" width="8.7265625" style="7"/>
    <col min="3" max="3" width="13.54296875" style="7" customWidth="1"/>
    <col min="4" max="10" width="13.54296875" style="18" customWidth="1"/>
    <col min="11" max="16384" width="8.7265625" style="7"/>
  </cols>
  <sheetData>
    <row r="2" spans="2:10" ht="15" thickBot="1" x14ac:dyDescent="0.4">
      <c r="F2" s="33"/>
    </row>
    <row r="3" spans="2:10" x14ac:dyDescent="0.35">
      <c r="C3" s="62" t="s">
        <v>147</v>
      </c>
      <c r="D3" s="63"/>
      <c r="E3" s="63"/>
      <c r="F3" s="63"/>
      <c r="G3" s="63"/>
      <c r="H3" s="63"/>
      <c r="I3" s="64"/>
    </row>
    <row r="4" spans="2:10" ht="15" thickBot="1" x14ac:dyDescent="0.4">
      <c r="C4" s="65"/>
      <c r="D4" s="66"/>
      <c r="E4" s="66"/>
      <c r="F4" s="66"/>
      <c r="G4" s="66"/>
      <c r="H4" s="66"/>
      <c r="I4" s="67"/>
    </row>
    <row r="6" spans="2:10" s="24" customFormat="1" ht="27" customHeight="1" x14ac:dyDescent="0.35">
      <c r="C6" s="34" t="s">
        <v>148</v>
      </c>
      <c r="D6" s="35" t="s">
        <v>149</v>
      </c>
      <c r="E6" s="35" t="s">
        <v>124</v>
      </c>
      <c r="F6" s="35" t="s">
        <v>150</v>
      </c>
      <c r="G6" s="35" t="s">
        <v>140</v>
      </c>
      <c r="H6" s="35" t="s">
        <v>143</v>
      </c>
      <c r="I6" s="35" t="s">
        <v>151</v>
      </c>
      <c r="J6" s="35"/>
    </row>
    <row r="7" spans="2:10" s="24" customFormat="1" ht="20.149999999999999" customHeight="1" x14ac:dyDescent="0.35">
      <c r="B7" s="36" t="s">
        <v>152</v>
      </c>
      <c r="C7" s="37" t="s">
        <v>153</v>
      </c>
      <c r="D7" s="38">
        <v>0</v>
      </c>
      <c r="E7" s="38">
        <v>0</v>
      </c>
      <c r="F7" s="38">
        <v>0</v>
      </c>
      <c r="G7" s="38">
        <v>0</v>
      </c>
      <c r="H7" s="38">
        <v>0</v>
      </c>
      <c r="I7" s="38">
        <v>0</v>
      </c>
      <c r="J7" s="39"/>
    </row>
    <row r="8" spans="2:10" s="24" customFormat="1" ht="20.149999999999999" customHeight="1" x14ac:dyDescent="0.35">
      <c r="B8" s="36" t="s">
        <v>154</v>
      </c>
      <c r="C8" s="37" t="s">
        <v>155</v>
      </c>
      <c r="D8" s="38">
        <v>3</v>
      </c>
      <c r="E8" s="38">
        <v>3</v>
      </c>
      <c r="F8" s="38">
        <v>3</v>
      </c>
      <c r="G8" s="38">
        <v>3</v>
      </c>
      <c r="H8" s="38">
        <v>3</v>
      </c>
      <c r="I8" s="38">
        <v>3</v>
      </c>
      <c r="J8" s="39"/>
    </row>
    <row r="9" spans="2:10" s="24" customFormat="1" ht="20.149999999999999" customHeight="1" x14ac:dyDescent="0.35">
      <c r="B9" s="36" t="s">
        <v>156</v>
      </c>
      <c r="C9" s="37"/>
      <c r="D9" s="38"/>
      <c r="E9" s="38"/>
      <c r="F9" s="38"/>
      <c r="G9" s="38"/>
      <c r="H9" s="38"/>
      <c r="I9" s="38"/>
      <c r="J9" s="39"/>
    </row>
    <row r="10" spans="2:10" s="24" customFormat="1" ht="20.149999999999999" customHeight="1" x14ac:dyDescent="0.35">
      <c r="B10" s="36" t="s">
        <v>157</v>
      </c>
      <c r="C10" s="37"/>
      <c r="D10" s="38"/>
      <c r="E10" s="38"/>
      <c r="F10" s="38"/>
      <c r="G10" s="38"/>
      <c r="H10" s="38"/>
      <c r="I10" s="38"/>
      <c r="J10" s="39"/>
    </row>
    <row r="11" spans="2:10" s="24" customFormat="1" ht="20.149999999999999" customHeight="1" x14ac:dyDescent="0.35">
      <c r="B11" s="36" t="s">
        <v>158</v>
      </c>
      <c r="C11" s="37"/>
      <c r="D11" s="38"/>
      <c r="E11" s="38"/>
      <c r="F11" s="38"/>
      <c r="G11" s="38"/>
      <c r="H11" s="38"/>
      <c r="I11" s="38"/>
      <c r="J11" s="39"/>
    </row>
    <row r="12" spans="2:10" s="24" customFormat="1" ht="20.149999999999999" customHeight="1" x14ac:dyDescent="0.35">
      <c r="B12" s="36" t="s">
        <v>159</v>
      </c>
      <c r="C12" s="37"/>
      <c r="D12" s="38"/>
      <c r="E12" s="38"/>
      <c r="F12" s="38"/>
      <c r="G12" s="38"/>
      <c r="H12" s="38"/>
      <c r="I12" s="38"/>
      <c r="J12" s="39"/>
    </row>
    <row r="13" spans="2:10" s="24" customFormat="1" ht="20.149999999999999" customHeight="1" x14ac:dyDescent="0.35">
      <c r="B13" s="36" t="s">
        <v>160</v>
      </c>
      <c r="C13" s="37"/>
      <c r="D13" s="38"/>
      <c r="E13" s="38"/>
      <c r="F13" s="38"/>
      <c r="G13" s="38"/>
      <c r="H13" s="38"/>
      <c r="I13" s="38"/>
      <c r="J13" s="39"/>
    </row>
    <row r="14" spans="2:10" s="24" customFormat="1" ht="20.149999999999999" customHeight="1" x14ac:dyDescent="0.35">
      <c r="B14" s="36" t="s">
        <v>161</v>
      </c>
      <c r="C14" s="37"/>
      <c r="D14" s="38"/>
      <c r="E14" s="38"/>
      <c r="F14" s="38"/>
      <c r="G14" s="38"/>
      <c r="H14" s="38"/>
      <c r="I14" s="38"/>
      <c r="J14" s="39"/>
    </row>
    <row r="15" spans="2:10" s="24" customFormat="1" ht="20.149999999999999" customHeight="1" x14ac:dyDescent="0.35">
      <c r="B15" s="36" t="s">
        <v>162</v>
      </c>
      <c r="C15" s="37"/>
      <c r="D15" s="38"/>
      <c r="E15" s="38"/>
      <c r="F15" s="38"/>
      <c r="G15" s="38"/>
      <c r="H15" s="38"/>
      <c r="I15" s="38"/>
      <c r="J15" s="39"/>
    </row>
    <row r="16" spans="2:10" s="24" customFormat="1" ht="20.149999999999999" customHeight="1" x14ac:dyDescent="0.35">
      <c r="B16" s="36" t="s">
        <v>163</v>
      </c>
      <c r="C16" s="37"/>
      <c r="D16" s="38"/>
      <c r="E16" s="38"/>
      <c r="F16" s="38"/>
      <c r="G16" s="38"/>
      <c r="H16" s="38"/>
      <c r="I16" s="38"/>
      <c r="J16" s="39"/>
    </row>
    <row r="17" spans="2:10" s="24" customFormat="1" ht="20.149999999999999" customHeight="1" x14ac:dyDescent="0.35">
      <c r="B17" s="36" t="s">
        <v>164</v>
      </c>
      <c r="C17" s="37"/>
      <c r="D17" s="38"/>
      <c r="E17" s="38"/>
      <c r="F17" s="38"/>
      <c r="G17" s="38"/>
      <c r="H17" s="38"/>
      <c r="I17" s="38"/>
      <c r="J17" s="39"/>
    </row>
    <row r="18" spans="2:10" s="24" customFormat="1" ht="20.149999999999999" customHeight="1" x14ac:dyDescent="0.35">
      <c r="B18" s="36" t="s">
        <v>165</v>
      </c>
      <c r="C18" s="37"/>
      <c r="D18" s="38"/>
      <c r="E18" s="38"/>
      <c r="F18" s="38"/>
      <c r="G18" s="38"/>
      <c r="H18" s="38"/>
      <c r="I18" s="38"/>
      <c r="J18" s="39"/>
    </row>
    <row r="19" spans="2:10" s="24" customFormat="1" ht="20.149999999999999" customHeight="1" x14ac:dyDescent="0.35">
      <c r="B19" s="36" t="s">
        <v>166</v>
      </c>
      <c r="C19" s="37"/>
      <c r="D19" s="38"/>
      <c r="E19" s="38"/>
      <c r="F19" s="38"/>
      <c r="G19" s="38"/>
      <c r="H19" s="38"/>
      <c r="I19" s="38"/>
      <c r="J19" s="39"/>
    </row>
    <row r="20" spans="2:10" s="24" customFormat="1" ht="20.149999999999999" customHeight="1" x14ac:dyDescent="0.35">
      <c r="B20" s="36" t="s">
        <v>167</v>
      </c>
      <c r="C20" s="37"/>
      <c r="D20" s="38"/>
      <c r="E20" s="38"/>
      <c r="F20" s="38"/>
      <c r="G20" s="38"/>
      <c r="H20" s="38"/>
      <c r="I20" s="38"/>
      <c r="J20" s="39"/>
    </row>
    <row r="21" spans="2:10" s="24" customFormat="1" ht="20.149999999999999" customHeight="1" x14ac:dyDescent="0.35">
      <c r="B21" s="36" t="s">
        <v>168</v>
      </c>
      <c r="C21" s="37"/>
      <c r="D21" s="38"/>
      <c r="E21" s="38"/>
      <c r="F21" s="38"/>
      <c r="G21" s="38"/>
      <c r="H21" s="38"/>
      <c r="I21" s="38"/>
      <c r="J21" s="39"/>
    </row>
    <row r="22" spans="2:10" s="24" customFormat="1" ht="20.149999999999999" customHeight="1" x14ac:dyDescent="0.35">
      <c r="B22" s="36" t="s">
        <v>169</v>
      </c>
      <c r="C22" s="37"/>
      <c r="D22" s="38"/>
      <c r="E22" s="38"/>
      <c r="F22" s="38"/>
      <c r="G22" s="38"/>
      <c r="H22" s="38"/>
      <c r="I22" s="38"/>
      <c r="J22" s="39"/>
    </row>
    <row r="23" spans="2:10" s="24" customFormat="1" ht="20.149999999999999" customHeight="1" x14ac:dyDescent="0.35">
      <c r="B23" s="36" t="s">
        <v>170</v>
      </c>
      <c r="C23" s="37"/>
      <c r="D23" s="38"/>
      <c r="E23" s="38"/>
      <c r="F23" s="38"/>
      <c r="G23" s="38"/>
      <c r="H23" s="38"/>
      <c r="I23" s="38"/>
      <c r="J23" s="39"/>
    </row>
    <row r="24" spans="2:10" s="24" customFormat="1" ht="20.149999999999999" customHeight="1" x14ac:dyDescent="0.35">
      <c r="B24" s="36" t="s">
        <v>171</v>
      </c>
      <c r="C24" s="37"/>
      <c r="D24" s="38"/>
      <c r="E24" s="38"/>
      <c r="F24" s="38"/>
      <c r="G24" s="38"/>
      <c r="H24" s="38"/>
      <c r="I24" s="38"/>
      <c r="J24" s="39"/>
    </row>
    <row r="25" spans="2:10" s="24" customFormat="1" ht="20.149999999999999" customHeight="1" x14ac:dyDescent="0.35">
      <c r="B25" s="36" t="s">
        <v>172</v>
      </c>
      <c r="C25" s="37"/>
      <c r="D25" s="38"/>
      <c r="E25" s="38"/>
      <c r="F25" s="38"/>
      <c r="G25" s="38"/>
      <c r="H25" s="38"/>
      <c r="I25" s="38"/>
      <c r="J25" s="39"/>
    </row>
    <row r="26" spans="2:10" s="24" customFormat="1" ht="20.149999999999999" customHeight="1" x14ac:dyDescent="0.35">
      <c r="B26" s="36" t="s">
        <v>173</v>
      </c>
      <c r="C26" s="37"/>
      <c r="D26" s="38"/>
      <c r="E26" s="38"/>
      <c r="F26" s="38"/>
      <c r="G26" s="38"/>
      <c r="H26" s="38"/>
      <c r="I26" s="38"/>
      <c r="J26" s="39"/>
    </row>
    <row r="27" spans="2:10" s="24" customFormat="1" ht="20.149999999999999" customHeight="1" x14ac:dyDescent="0.35">
      <c r="B27" s="36" t="s">
        <v>174</v>
      </c>
      <c r="C27" s="37"/>
      <c r="D27" s="38"/>
      <c r="E27" s="38"/>
      <c r="F27" s="38"/>
      <c r="G27" s="38"/>
      <c r="H27" s="38"/>
      <c r="I27" s="38"/>
      <c r="J27" s="39"/>
    </row>
    <row r="28" spans="2:10" x14ac:dyDescent="0.35">
      <c r="C28" s="40"/>
      <c r="D28" s="41"/>
      <c r="E28" s="41"/>
      <c r="F28" s="41"/>
      <c r="G28" s="41"/>
      <c r="H28" s="41"/>
      <c r="I28" s="41"/>
    </row>
  </sheetData>
  <sheetProtection algorithmName="SHA-512" hashValue="O6KFSQzaNl4KdM6JYDXUynRJphGCed7TWXQBdFCF9kLKx0ihheX3PpVrzNQgOkNCkdZ8L/NuwqvCQOkpZ0uFAg==" saltValue="K76T79EPEhM6db/Oh1g1hQ==" spinCount="100000" sheet="1" objects="1" scenarios="1"/>
  <sortState xmlns:xlrd2="http://schemas.microsoft.com/office/spreadsheetml/2017/richdata2" ref="C7:J27">
    <sortCondition descending="1" ref="J7:J27"/>
  </sortState>
  <mergeCells count="1">
    <mergeCell ref="C3:I4"/>
  </mergeCell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Rules"/>
  <dimension ref="D2:M18"/>
  <sheetViews>
    <sheetView showGridLines="0" zoomScale="90" zoomScaleNormal="90" workbookViewId="0">
      <selection activeCell="Q17" sqref="Q17"/>
    </sheetView>
  </sheetViews>
  <sheetFormatPr defaultColWidth="8.7265625" defaultRowHeight="14.5" x14ac:dyDescent="0.35"/>
  <cols>
    <col min="1" max="3" width="8.7265625" style="7"/>
    <col min="4" max="4" width="17.54296875" style="7" customWidth="1"/>
    <col min="5" max="5" width="19" style="7" customWidth="1"/>
    <col min="6" max="6" width="13.26953125" style="7" customWidth="1"/>
    <col min="7" max="12" width="8.7265625" style="7"/>
    <col min="13" max="13" width="16.1796875" style="7" customWidth="1"/>
    <col min="14" max="16384" width="8.7265625" style="7"/>
  </cols>
  <sheetData>
    <row r="2" spans="4:13" x14ac:dyDescent="0.35">
      <c r="D2" s="68" t="s">
        <v>175</v>
      </c>
      <c r="E2" s="68"/>
      <c r="F2" s="68"/>
      <c r="G2" s="68"/>
      <c r="H2" s="68"/>
      <c r="I2" s="68"/>
      <c r="J2" s="68"/>
      <c r="K2" s="68"/>
      <c r="L2" s="68"/>
      <c r="M2" s="68"/>
    </row>
    <row r="3" spans="4:13" x14ac:dyDescent="0.35">
      <c r="D3" s="68"/>
      <c r="E3" s="68"/>
      <c r="F3" s="68"/>
      <c r="G3" s="68"/>
      <c r="H3" s="68"/>
      <c r="I3" s="68"/>
      <c r="J3" s="68"/>
      <c r="K3" s="68"/>
      <c r="L3" s="68"/>
      <c r="M3" s="68"/>
    </row>
    <row r="4" spans="4:13" x14ac:dyDescent="0.35">
      <c r="D4" s="68"/>
      <c r="E4" s="68"/>
      <c r="F4" s="68"/>
      <c r="G4" s="68"/>
      <c r="H4" s="68"/>
      <c r="I4" s="68"/>
      <c r="J4" s="68"/>
      <c r="K4" s="68"/>
      <c r="L4" s="68"/>
      <c r="M4" s="68"/>
    </row>
    <row r="6" spans="4:13" ht="18" x14ac:dyDescent="0.4">
      <c r="D6" s="8" t="s">
        <v>176</v>
      </c>
      <c r="E6" s="9"/>
    </row>
    <row r="7" spans="4:13" ht="5.15" customHeight="1" x14ac:dyDescent="0.35"/>
    <row r="8" spans="4:13" x14ac:dyDescent="0.35">
      <c r="D8" s="69" t="s">
        <v>177</v>
      </c>
      <c r="E8" s="69"/>
      <c r="F8" s="69"/>
      <c r="G8" s="69"/>
      <c r="H8" s="69"/>
      <c r="I8" s="69"/>
      <c r="J8" s="69"/>
      <c r="K8" s="69"/>
      <c r="L8" s="69"/>
      <c r="M8" s="69"/>
    </row>
    <row r="9" spans="4:13" x14ac:dyDescent="0.35">
      <c r="D9" s="69"/>
      <c r="E9" s="69"/>
      <c r="F9" s="69"/>
      <c r="G9" s="69"/>
      <c r="H9" s="69"/>
      <c r="I9" s="69"/>
      <c r="J9" s="69"/>
      <c r="K9" s="69"/>
      <c r="L9" s="69"/>
      <c r="M9" s="69"/>
    </row>
    <row r="11" spans="4:13" ht="18" x14ac:dyDescent="0.4">
      <c r="D11" s="8" t="s">
        <v>178</v>
      </c>
    </row>
    <row r="12" spans="4:13" ht="5.15" customHeight="1" x14ac:dyDescent="0.35"/>
    <row r="13" spans="4:13" ht="80.150000000000006" customHeight="1" x14ac:dyDescent="0.35">
      <c r="D13" s="69" t="s">
        <v>179</v>
      </c>
      <c r="E13" s="69"/>
      <c r="F13" s="69"/>
      <c r="G13" s="69"/>
      <c r="H13" s="69"/>
      <c r="I13" s="69"/>
      <c r="J13" s="69"/>
      <c r="K13" s="69"/>
      <c r="L13" s="69"/>
      <c r="M13" s="69"/>
    </row>
    <row r="14" spans="4:13" ht="28.5" customHeight="1" x14ac:dyDescent="0.35">
      <c r="D14" s="71" t="s">
        <v>180</v>
      </c>
      <c r="E14" s="71"/>
      <c r="F14" s="71"/>
      <c r="G14" s="71"/>
      <c r="H14" s="71"/>
      <c r="I14" s="71"/>
      <c r="J14" s="71"/>
      <c r="K14" s="71"/>
      <c r="L14" s="71"/>
      <c r="M14" s="71"/>
    </row>
    <row r="16" spans="4:13" x14ac:dyDescent="0.35">
      <c r="D16" s="70" t="s">
        <v>181</v>
      </c>
      <c r="E16" s="70"/>
      <c r="F16" s="70"/>
      <c r="G16" s="70"/>
      <c r="H16" s="70"/>
      <c r="I16" s="70"/>
      <c r="J16" s="70"/>
      <c r="K16" s="70"/>
      <c r="L16" s="70"/>
      <c r="M16" s="70"/>
    </row>
    <row r="17" spans="4:13" x14ac:dyDescent="0.35">
      <c r="D17" s="70"/>
      <c r="E17" s="70"/>
      <c r="F17" s="70"/>
      <c r="G17" s="70"/>
      <c r="H17" s="70"/>
      <c r="I17" s="70"/>
      <c r="J17" s="70"/>
      <c r="K17" s="70"/>
      <c r="L17" s="70"/>
      <c r="M17" s="70"/>
    </row>
    <row r="18" spans="4:13" x14ac:dyDescent="0.35">
      <c r="D18" s="70"/>
      <c r="E18" s="70"/>
      <c r="F18" s="70"/>
      <c r="G18" s="70"/>
      <c r="H18" s="70"/>
      <c r="I18" s="70"/>
      <c r="J18" s="70"/>
      <c r="K18" s="70"/>
      <c r="L18" s="70"/>
      <c r="M18" s="70"/>
    </row>
  </sheetData>
  <sheetProtection algorithmName="SHA-512" hashValue="icVmP5Z58H7Ep92sNaAcZlA7L2HDBJFmtnn5orhRpKS9fQ061kCnq1RwFYixI8KqDAtYm+VVJM2lxk7WwzTakw==" saltValue="c6gMLhLQvVtomIwdxltEGg==" spinCount="100000" sheet="1" objects="1" scenarios="1"/>
  <mergeCells count="5">
    <mergeCell ref="D2:M4"/>
    <mergeCell ref="D8:M9"/>
    <mergeCell ref="D13:M13"/>
    <mergeCell ref="D16:M18"/>
    <mergeCell ref="D14:M14"/>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
  <dimension ref="B2:AA74"/>
  <sheetViews>
    <sheetView showGridLines="0" zoomScale="70" zoomScaleNormal="70" workbookViewId="0">
      <selection activeCell="J11" sqref="J11"/>
    </sheetView>
  </sheetViews>
  <sheetFormatPr defaultColWidth="8.7265625" defaultRowHeight="14.5" outlineLevelRow="1" x14ac:dyDescent="0.35"/>
  <cols>
    <col min="1" max="1" width="1.453125" style="7" customWidth="1"/>
    <col min="2" max="2" width="10.453125" style="7" bestFit="1" customWidth="1"/>
    <col min="3" max="3" width="8.453125" style="7" bestFit="1" customWidth="1"/>
    <col min="4" max="4" width="9.81640625" style="7" bestFit="1" customWidth="1"/>
    <col min="5" max="5" width="14" style="7" bestFit="1" customWidth="1"/>
    <col min="6" max="6" width="3.7265625" style="19" customWidth="1"/>
    <col min="7" max="7" width="3.7265625" style="7" customWidth="1"/>
    <col min="8" max="8" width="3.7265625" style="19" customWidth="1"/>
    <col min="9" max="9" width="14" style="7" bestFit="1" customWidth="1"/>
    <col min="10" max="11" width="4.7265625" style="7" customWidth="1"/>
    <col min="12" max="12" width="2" style="7" customWidth="1"/>
    <col min="13" max="13" width="11.81640625" style="7" bestFit="1" customWidth="1"/>
    <col min="14" max="19" width="8.7265625" style="7"/>
    <col min="20" max="20" width="14" style="7" bestFit="1" customWidth="1"/>
    <col min="21" max="25" width="8.7265625" style="7"/>
    <col min="26" max="26" width="2" style="7" customWidth="1"/>
    <col min="27" max="27" width="8.7265625" style="7" customWidth="1"/>
    <col min="28" max="16384" width="8.7265625" style="7"/>
  </cols>
  <sheetData>
    <row r="2" spans="2:27" x14ac:dyDescent="0.35">
      <c r="AA2" s="20"/>
    </row>
    <row r="3" spans="2:27" ht="29.5" customHeight="1" thickBot="1" x14ac:dyDescent="0.4">
      <c r="B3" s="28" t="s">
        <v>98</v>
      </c>
      <c r="C3" s="28" t="s">
        <v>99</v>
      </c>
      <c r="D3" s="28" t="s">
        <v>7</v>
      </c>
      <c r="E3" s="28" t="s">
        <v>100</v>
      </c>
      <c r="F3" s="28"/>
      <c r="G3" s="28"/>
      <c r="H3" s="28"/>
      <c r="I3" s="28" t="s">
        <v>101</v>
      </c>
      <c r="S3" s="21"/>
    </row>
    <row r="4" spans="2:27" ht="8.5" customHeight="1" thickTop="1" thickBot="1" x14ac:dyDescent="0.4">
      <c r="B4" s="42"/>
      <c r="C4" s="42"/>
      <c r="D4" s="42"/>
      <c r="E4" s="42"/>
      <c r="F4" s="42"/>
      <c r="G4" s="42"/>
      <c r="H4" s="42"/>
      <c r="I4" s="42"/>
      <c r="S4" s="21"/>
    </row>
    <row r="5" spans="2:27" ht="20.25" customHeight="1" thickBot="1" x14ac:dyDescent="0.4">
      <c r="B5" s="30" t="s">
        <v>102</v>
      </c>
      <c r="C5" s="23">
        <v>0.66666666666666663</v>
      </c>
      <c r="D5" s="19" t="s">
        <v>8</v>
      </c>
      <c r="E5" s="24" t="s">
        <v>28</v>
      </c>
      <c r="F5" s="31"/>
      <c r="G5" s="25" t="s">
        <v>103</v>
      </c>
      <c r="H5" s="31"/>
      <c r="I5" s="24" t="s">
        <v>32</v>
      </c>
      <c r="L5" s="22"/>
      <c r="M5" s="22"/>
      <c r="N5" s="22"/>
      <c r="O5" s="22"/>
      <c r="P5" s="22"/>
      <c r="Q5" s="22"/>
      <c r="R5" s="22"/>
      <c r="S5" s="22"/>
      <c r="T5" s="22"/>
      <c r="U5" s="22"/>
      <c r="V5" s="22"/>
      <c r="W5" s="22"/>
      <c r="X5" s="22"/>
      <c r="Y5" s="22"/>
      <c r="Z5" s="22"/>
    </row>
    <row r="6" spans="2:27" ht="20.25" customHeight="1" thickBot="1" x14ac:dyDescent="0.4">
      <c r="B6" s="58" t="s">
        <v>104</v>
      </c>
      <c r="C6" s="23">
        <v>0.54166666666666663</v>
      </c>
      <c r="D6" s="23" t="str">
        <f>dataMatch!E4</f>
        <v>B</v>
      </c>
      <c r="E6" s="24" t="str">
        <f>dataMatch!F4</f>
        <v>England</v>
      </c>
      <c r="F6" s="31"/>
      <c r="G6" s="25" t="s">
        <v>103</v>
      </c>
      <c r="H6" s="31"/>
      <c r="I6" s="24" t="str">
        <f>dataMatch!G4</f>
        <v>IR Iran</v>
      </c>
      <c r="L6" s="22"/>
      <c r="M6" s="61" t="s">
        <v>105</v>
      </c>
      <c r="N6" s="61"/>
      <c r="O6" s="61"/>
      <c r="P6" s="61"/>
      <c r="Q6" s="61"/>
      <c r="R6" s="61"/>
      <c r="S6" s="22"/>
      <c r="T6" s="61" t="s">
        <v>106</v>
      </c>
      <c r="U6" s="61"/>
      <c r="V6" s="61"/>
      <c r="W6" s="61"/>
      <c r="X6" s="61"/>
      <c r="Y6" s="61"/>
      <c r="Z6" s="22"/>
    </row>
    <row r="7" spans="2:27" ht="20.149999999999999" customHeight="1" thickTop="1" thickBot="1" x14ac:dyDescent="0.4">
      <c r="B7" s="58"/>
      <c r="C7" s="23">
        <v>0.66666666666666663</v>
      </c>
      <c r="D7" s="23" t="str">
        <f>dataMatch!E5</f>
        <v>A</v>
      </c>
      <c r="E7" s="24" t="str">
        <f>dataMatch!F5</f>
        <v>Senegal</v>
      </c>
      <c r="F7" s="31"/>
      <c r="G7" s="25" t="s">
        <v>103</v>
      </c>
      <c r="H7" s="31"/>
      <c r="I7" s="24" t="str">
        <f>dataMatch!G5</f>
        <v>Netherlands</v>
      </c>
      <c r="L7" s="22"/>
      <c r="M7" s="26" t="s">
        <v>9</v>
      </c>
      <c r="N7" s="46" t="s">
        <v>10</v>
      </c>
      <c r="O7" s="46" t="s">
        <v>11</v>
      </c>
      <c r="P7" s="46" t="s">
        <v>12</v>
      </c>
      <c r="Q7" s="46" t="s">
        <v>13</v>
      </c>
      <c r="R7" s="46" t="s">
        <v>14</v>
      </c>
      <c r="S7" s="22"/>
      <c r="T7" s="26" t="s">
        <v>9</v>
      </c>
      <c r="U7" s="46" t="s">
        <v>10</v>
      </c>
      <c r="V7" s="46" t="s">
        <v>11</v>
      </c>
      <c r="W7" s="46" t="s">
        <v>12</v>
      </c>
      <c r="X7" s="46" t="s">
        <v>13</v>
      </c>
      <c r="Y7" s="46" t="s">
        <v>14</v>
      </c>
      <c r="Z7" s="22"/>
    </row>
    <row r="8" spans="2:27" ht="20.149999999999999" customHeight="1" thickBot="1" x14ac:dyDescent="0.4">
      <c r="B8" s="58"/>
      <c r="C8" s="23">
        <v>0.79166666666666663</v>
      </c>
      <c r="D8" s="23" t="str">
        <f>dataMatch!E6</f>
        <v>B</v>
      </c>
      <c r="E8" s="24" t="str">
        <f>dataMatch!F6</f>
        <v>USA</v>
      </c>
      <c r="F8" s="31"/>
      <c r="G8" s="25" t="s">
        <v>103</v>
      </c>
      <c r="H8" s="31"/>
      <c r="I8" s="24" t="str">
        <f>dataMatch!G6</f>
        <v>Wales</v>
      </c>
      <c r="L8" s="22"/>
      <c r="M8" s="27" t="str">
        <f>Modèlegroup!D3</f>
        <v>Qatar</v>
      </c>
      <c r="N8" s="45">
        <f>Modèlegroup!E3</f>
        <v>0</v>
      </c>
      <c r="O8" s="45">
        <f>Modèlegroup!F3</f>
        <v>0</v>
      </c>
      <c r="P8" s="45">
        <f>Modèlegroup!G3</f>
        <v>0</v>
      </c>
      <c r="Q8" s="45">
        <f>Modèlegroup!H3</f>
        <v>0</v>
      </c>
      <c r="R8" s="45">
        <f>Modèlegroup!I3</f>
        <v>0</v>
      </c>
      <c r="S8" s="22"/>
      <c r="T8" s="27" t="str">
        <f>Modèlegroup!Y3</f>
        <v>Spain</v>
      </c>
      <c r="U8" s="45">
        <f>Modèlegroup!Z3</f>
        <v>0</v>
      </c>
      <c r="V8" s="45">
        <f>Modèlegroup!AA3</f>
        <v>0</v>
      </c>
      <c r="W8" s="45">
        <f>Modèlegroup!AB3</f>
        <v>0</v>
      </c>
      <c r="X8" s="45">
        <f>Modèlegroup!AC3</f>
        <v>0</v>
      </c>
      <c r="Y8" s="45">
        <f>Modèlegroup!AD3</f>
        <v>0</v>
      </c>
      <c r="Z8" s="22"/>
    </row>
    <row r="9" spans="2:27" ht="20.149999999999999" customHeight="1" thickBot="1" x14ac:dyDescent="0.4">
      <c r="B9" s="59" t="s">
        <v>107</v>
      </c>
      <c r="C9" s="23">
        <v>0.41666666666666669</v>
      </c>
      <c r="D9" s="23" t="str">
        <f>dataMatch!E7</f>
        <v>C</v>
      </c>
      <c r="E9" s="24" t="str">
        <f>dataMatch!F7</f>
        <v>Argentina</v>
      </c>
      <c r="F9" s="31"/>
      <c r="G9" s="25" t="s">
        <v>103</v>
      </c>
      <c r="H9" s="31"/>
      <c r="I9" s="24" t="str">
        <f>dataMatch!G7</f>
        <v>Saudi Arabia</v>
      </c>
      <c r="L9" s="22"/>
      <c r="M9" s="27" t="str">
        <f>Modèlegroup!D4</f>
        <v>Ecuador</v>
      </c>
      <c r="N9" s="45">
        <f>Modèlegroup!E4</f>
        <v>0</v>
      </c>
      <c r="O9" s="45">
        <f>Modèlegroup!F4</f>
        <v>0</v>
      </c>
      <c r="P9" s="45">
        <f>Modèlegroup!G4</f>
        <v>0</v>
      </c>
      <c r="Q9" s="45">
        <f>Modèlegroup!H4</f>
        <v>0</v>
      </c>
      <c r="R9" s="45">
        <f>Modèlegroup!I4</f>
        <v>0</v>
      </c>
      <c r="S9" s="22"/>
      <c r="T9" s="27" t="str">
        <f>Modèlegroup!Y4</f>
        <v>Germany</v>
      </c>
      <c r="U9" s="45">
        <f>Modèlegroup!Z4</f>
        <v>0</v>
      </c>
      <c r="V9" s="45">
        <f>Modèlegroup!AA4</f>
        <v>0</v>
      </c>
      <c r="W9" s="45">
        <f>Modèlegroup!AB4</f>
        <v>0</v>
      </c>
      <c r="X9" s="45">
        <f>Modèlegroup!AC4</f>
        <v>0</v>
      </c>
      <c r="Y9" s="45">
        <f>Modèlegroup!AD4</f>
        <v>0</v>
      </c>
      <c r="Z9" s="22"/>
    </row>
    <row r="10" spans="2:27" ht="20.149999999999999" customHeight="1" thickBot="1" x14ac:dyDescent="0.4">
      <c r="B10" s="59"/>
      <c r="C10" s="23">
        <v>0.54166666666666663</v>
      </c>
      <c r="D10" s="23" t="str">
        <f>dataMatch!E8</f>
        <v>D</v>
      </c>
      <c r="E10" s="24" t="str">
        <f>dataMatch!F8</f>
        <v>Denmark</v>
      </c>
      <c r="F10" s="31"/>
      <c r="G10" s="25" t="s">
        <v>103</v>
      </c>
      <c r="H10" s="31"/>
      <c r="I10" s="24" t="str">
        <f>dataMatch!G8</f>
        <v>Tunisia</v>
      </c>
      <c r="L10" s="22"/>
      <c r="M10" s="27" t="str">
        <f>Modèlegroup!D5</f>
        <v>Senegal</v>
      </c>
      <c r="N10" s="45">
        <f>Modèlegroup!E5</f>
        <v>0</v>
      </c>
      <c r="O10" s="45">
        <f>Modèlegroup!F5</f>
        <v>0</v>
      </c>
      <c r="P10" s="45">
        <f>Modèlegroup!G5</f>
        <v>0</v>
      </c>
      <c r="Q10" s="45">
        <f>Modèlegroup!H5</f>
        <v>0</v>
      </c>
      <c r="R10" s="45">
        <f>Modèlegroup!I5</f>
        <v>0</v>
      </c>
      <c r="S10" s="22"/>
      <c r="T10" s="27" t="str">
        <f>Modèlegroup!Y5</f>
        <v>Japan</v>
      </c>
      <c r="U10" s="45">
        <f>Modèlegroup!Z5</f>
        <v>0</v>
      </c>
      <c r="V10" s="45">
        <f>Modèlegroup!AA5</f>
        <v>0</v>
      </c>
      <c r="W10" s="45">
        <f>Modèlegroup!AB5</f>
        <v>0</v>
      </c>
      <c r="X10" s="45">
        <f>Modèlegroup!AC5</f>
        <v>0</v>
      </c>
      <c r="Y10" s="45">
        <f>Modèlegroup!AD5</f>
        <v>0</v>
      </c>
      <c r="Z10" s="22"/>
    </row>
    <row r="11" spans="2:27" ht="20.149999999999999" customHeight="1" thickBot="1" x14ac:dyDescent="0.4">
      <c r="B11" s="59"/>
      <c r="C11" s="23">
        <v>0.66666666666666663</v>
      </c>
      <c r="D11" s="23" t="str">
        <f>dataMatch!E9</f>
        <v>C</v>
      </c>
      <c r="E11" s="24" t="str">
        <f>dataMatch!F9</f>
        <v>Mexico</v>
      </c>
      <c r="F11" s="31"/>
      <c r="G11" s="25" t="s">
        <v>103</v>
      </c>
      <c r="H11" s="31"/>
      <c r="I11" s="24" t="str">
        <f>dataMatch!G9</f>
        <v>Poland</v>
      </c>
      <c r="L11" s="22"/>
      <c r="M11" s="27" t="str">
        <f>Modèlegroup!D6</f>
        <v>Netherlands</v>
      </c>
      <c r="N11" s="45">
        <f>Modèlegroup!E6</f>
        <v>0</v>
      </c>
      <c r="O11" s="45">
        <f>Modèlegroup!F6</f>
        <v>0</v>
      </c>
      <c r="P11" s="45">
        <f>Modèlegroup!G6</f>
        <v>0</v>
      </c>
      <c r="Q11" s="45">
        <f>Modèlegroup!H6</f>
        <v>0</v>
      </c>
      <c r="R11" s="45">
        <f>Modèlegroup!I6</f>
        <v>0</v>
      </c>
      <c r="S11" s="22"/>
      <c r="T11" s="27" t="str">
        <f>Modèlegroup!Y6</f>
        <v>Costa Rica</v>
      </c>
      <c r="U11" s="45">
        <f>Modèlegroup!Z6</f>
        <v>0</v>
      </c>
      <c r="V11" s="45">
        <f>Modèlegroup!AA6</f>
        <v>0</v>
      </c>
      <c r="W11" s="45">
        <f>Modèlegroup!AB6</f>
        <v>0</v>
      </c>
      <c r="X11" s="45">
        <f>Modèlegroup!AC6</f>
        <v>0</v>
      </c>
      <c r="Y11" s="45">
        <f>Modèlegroup!AD6</f>
        <v>0</v>
      </c>
      <c r="Z11" s="22"/>
    </row>
    <row r="12" spans="2:27" ht="20.149999999999999" customHeight="1" thickBot="1" x14ac:dyDescent="0.4">
      <c r="B12" s="59"/>
      <c r="C12" s="23">
        <v>0.79166666666666663</v>
      </c>
      <c r="D12" s="23" t="str">
        <f>dataMatch!E10</f>
        <v>D</v>
      </c>
      <c r="E12" s="24" t="str">
        <f>dataMatch!F10</f>
        <v>France</v>
      </c>
      <c r="F12" s="31"/>
      <c r="G12" s="25" t="s">
        <v>103</v>
      </c>
      <c r="H12" s="31"/>
      <c r="I12" s="24" t="str">
        <f>dataMatch!G10</f>
        <v>Australia</v>
      </c>
      <c r="L12" s="22"/>
      <c r="M12" s="22"/>
      <c r="N12" s="22"/>
      <c r="O12" s="22"/>
      <c r="P12" s="22"/>
      <c r="Q12" s="22"/>
      <c r="R12" s="22"/>
      <c r="S12" s="22"/>
      <c r="T12" s="22"/>
      <c r="U12" s="22"/>
      <c r="V12" s="22"/>
      <c r="W12" s="22"/>
      <c r="X12" s="22"/>
      <c r="Y12" s="22"/>
      <c r="Z12" s="22"/>
    </row>
    <row r="13" spans="2:27" ht="20.149999999999999" customHeight="1" thickBot="1" x14ac:dyDescent="0.4">
      <c r="B13" s="58" t="s">
        <v>108</v>
      </c>
      <c r="C13" s="23">
        <v>0.41666666666666669</v>
      </c>
      <c r="D13" s="23" t="str">
        <f>dataMatch!E11</f>
        <v>F</v>
      </c>
      <c r="E13" s="24" t="str">
        <f>dataMatch!F11</f>
        <v>Morocco</v>
      </c>
      <c r="F13" s="31"/>
      <c r="G13" s="25" t="s">
        <v>103</v>
      </c>
      <c r="H13" s="31"/>
      <c r="I13" s="24" t="str">
        <f>dataMatch!G11</f>
        <v>Croatia</v>
      </c>
      <c r="L13" s="22"/>
      <c r="M13" s="61" t="s">
        <v>109</v>
      </c>
      <c r="N13" s="61"/>
      <c r="O13" s="61"/>
      <c r="P13" s="61"/>
      <c r="Q13" s="61"/>
      <c r="R13" s="61"/>
      <c r="S13" s="22"/>
      <c r="T13" s="61" t="s">
        <v>110</v>
      </c>
      <c r="U13" s="61"/>
      <c r="V13" s="61"/>
      <c r="W13" s="61"/>
      <c r="X13" s="61"/>
      <c r="Y13" s="61"/>
      <c r="Z13" s="22"/>
    </row>
    <row r="14" spans="2:27" ht="20.149999999999999" customHeight="1" thickTop="1" thickBot="1" x14ac:dyDescent="0.4">
      <c r="B14" s="58"/>
      <c r="C14" s="23">
        <v>0.54166666666666663</v>
      </c>
      <c r="D14" s="23" t="str">
        <f>dataMatch!E12</f>
        <v>E</v>
      </c>
      <c r="E14" s="24" t="str">
        <f>dataMatch!F12</f>
        <v>Germany</v>
      </c>
      <c r="F14" s="31"/>
      <c r="G14" s="25" t="s">
        <v>103</v>
      </c>
      <c r="H14" s="31"/>
      <c r="I14" s="24" t="str">
        <f>dataMatch!G12</f>
        <v>Japan</v>
      </c>
      <c r="L14" s="22"/>
      <c r="M14" s="26" t="s">
        <v>9</v>
      </c>
      <c r="N14" s="46" t="s">
        <v>10</v>
      </c>
      <c r="O14" s="46" t="s">
        <v>11</v>
      </c>
      <c r="P14" s="46" t="s">
        <v>12</v>
      </c>
      <c r="Q14" s="46" t="s">
        <v>13</v>
      </c>
      <c r="R14" s="46" t="s">
        <v>14</v>
      </c>
      <c r="S14" s="22"/>
      <c r="T14" s="26" t="s">
        <v>9</v>
      </c>
      <c r="U14" s="46" t="s">
        <v>10</v>
      </c>
      <c r="V14" s="46" t="s">
        <v>11</v>
      </c>
      <c r="W14" s="46" t="s">
        <v>12</v>
      </c>
      <c r="X14" s="46" t="s">
        <v>13</v>
      </c>
      <c r="Y14" s="46" t="s">
        <v>14</v>
      </c>
      <c r="Z14" s="22"/>
    </row>
    <row r="15" spans="2:27" ht="20.149999999999999" customHeight="1" thickBot="1" x14ac:dyDescent="0.4">
      <c r="B15" s="58"/>
      <c r="C15" s="23">
        <v>0.66666666666666663</v>
      </c>
      <c r="D15" s="23" t="str">
        <f>dataMatch!E13</f>
        <v>E</v>
      </c>
      <c r="E15" s="24" t="str">
        <f>dataMatch!F13</f>
        <v>Spain</v>
      </c>
      <c r="F15" s="31"/>
      <c r="G15" s="25" t="s">
        <v>103</v>
      </c>
      <c r="H15" s="31"/>
      <c r="I15" s="24" t="str">
        <f>dataMatch!G13</f>
        <v>Costa Rica</v>
      </c>
      <c r="L15" s="22"/>
      <c r="M15" s="27" t="str">
        <f>Modèlegroup!D10</f>
        <v>England</v>
      </c>
      <c r="N15" s="45">
        <f>Modèlegroup!E10</f>
        <v>0</v>
      </c>
      <c r="O15" s="45">
        <f>Modèlegroup!F10</f>
        <v>0</v>
      </c>
      <c r="P15" s="45">
        <f>Modèlegroup!G10</f>
        <v>0</v>
      </c>
      <c r="Q15" s="45">
        <f>Modèlegroup!H10</f>
        <v>0</v>
      </c>
      <c r="R15" s="45">
        <f>Modèlegroup!I10</f>
        <v>0</v>
      </c>
      <c r="S15" s="22"/>
      <c r="T15" s="27" t="str">
        <f>Modèlegroup!Y10</f>
        <v>Belgium</v>
      </c>
      <c r="U15" s="45">
        <f>Modèlegroup!Z10</f>
        <v>0</v>
      </c>
      <c r="V15" s="45">
        <f>Modèlegroup!AA10</f>
        <v>0</v>
      </c>
      <c r="W15" s="45">
        <f>Modèlegroup!AB10</f>
        <v>0</v>
      </c>
      <c r="X15" s="45">
        <f>Modèlegroup!AC10</f>
        <v>0</v>
      </c>
      <c r="Y15" s="45">
        <f>Modèlegroup!AD10</f>
        <v>0</v>
      </c>
      <c r="Z15" s="22"/>
    </row>
    <row r="16" spans="2:27" ht="20.149999999999999" customHeight="1" thickBot="1" x14ac:dyDescent="0.4">
      <c r="B16" s="58"/>
      <c r="C16" s="23">
        <v>0.79166666666666663</v>
      </c>
      <c r="D16" s="23" t="str">
        <f>dataMatch!E14</f>
        <v>F</v>
      </c>
      <c r="E16" s="24" t="str">
        <f>dataMatch!F14</f>
        <v>Belgium</v>
      </c>
      <c r="F16" s="31"/>
      <c r="G16" s="25" t="s">
        <v>103</v>
      </c>
      <c r="H16" s="31"/>
      <c r="I16" s="24" t="str">
        <f>dataMatch!G14</f>
        <v>Canada</v>
      </c>
      <c r="L16" s="22"/>
      <c r="M16" s="27" t="str">
        <f>Modèlegroup!D11</f>
        <v>IR Iran</v>
      </c>
      <c r="N16" s="45">
        <f>Modèlegroup!E11</f>
        <v>0</v>
      </c>
      <c r="O16" s="45">
        <f>Modèlegroup!F11</f>
        <v>0</v>
      </c>
      <c r="P16" s="45">
        <f>Modèlegroup!G11</f>
        <v>0</v>
      </c>
      <c r="Q16" s="45">
        <f>Modèlegroup!H11</f>
        <v>0</v>
      </c>
      <c r="R16" s="45">
        <f>Modèlegroup!I11</f>
        <v>0</v>
      </c>
      <c r="S16" s="22"/>
      <c r="T16" s="27" t="str">
        <f>Modèlegroup!Y11</f>
        <v>Canada</v>
      </c>
      <c r="U16" s="45">
        <f>Modèlegroup!Z11</f>
        <v>0</v>
      </c>
      <c r="V16" s="45">
        <f>Modèlegroup!AA11</f>
        <v>0</v>
      </c>
      <c r="W16" s="45">
        <f>Modèlegroup!AB11</f>
        <v>0</v>
      </c>
      <c r="X16" s="45">
        <f>Modèlegroup!AC11</f>
        <v>0</v>
      </c>
      <c r="Y16" s="45">
        <f>Modèlegroup!AD11</f>
        <v>0</v>
      </c>
      <c r="Z16" s="22"/>
    </row>
    <row r="17" spans="2:26" ht="20.149999999999999" customHeight="1" thickBot="1" x14ac:dyDescent="0.4">
      <c r="B17" s="59" t="s">
        <v>111</v>
      </c>
      <c r="C17" s="23">
        <v>0.41666666666666669</v>
      </c>
      <c r="D17" s="23" t="str">
        <f>dataMatch!E15</f>
        <v>G</v>
      </c>
      <c r="E17" s="24" t="str">
        <f>dataMatch!F15</f>
        <v>Switzerland</v>
      </c>
      <c r="F17" s="31"/>
      <c r="G17" s="25" t="s">
        <v>103</v>
      </c>
      <c r="H17" s="31"/>
      <c r="I17" s="24" t="str">
        <f>dataMatch!G15</f>
        <v>Cameroon</v>
      </c>
      <c r="L17" s="22"/>
      <c r="M17" s="27" t="str">
        <f>Modèlegroup!D12</f>
        <v>USA</v>
      </c>
      <c r="N17" s="45">
        <f>Modèlegroup!E12</f>
        <v>0</v>
      </c>
      <c r="O17" s="45">
        <f>Modèlegroup!F12</f>
        <v>0</v>
      </c>
      <c r="P17" s="45">
        <f>Modèlegroup!G12</f>
        <v>0</v>
      </c>
      <c r="Q17" s="45">
        <f>Modèlegroup!H12</f>
        <v>0</v>
      </c>
      <c r="R17" s="45">
        <f>Modèlegroup!I12</f>
        <v>0</v>
      </c>
      <c r="S17" s="22"/>
      <c r="T17" s="27" t="str">
        <f>Modèlegroup!Y12</f>
        <v>Morocco</v>
      </c>
      <c r="U17" s="45">
        <f>Modèlegroup!Z12</f>
        <v>0</v>
      </c>
      <c r="V17" s="45">
        <f>Modèlegroup!AA12</f>
        <v>0</v>
      </c>
      <c r="W17" s="45">
        <f>Modèlegroup!AB12</f>
        <v>0</v>
      </c>
      <c r="X17" s="45">
        <f>Modèlegroup!AC12</f>
        <v>0</v>
      </c>
      <c r="Y17" s="45">
        <f>Modèlegroup!AD12</f>
        <v>0</v>
      </c>
      <c r="Z17" s="22"/>
    </row>
    <row r="18" spans="2:26" ht="20.149999999999999" customHeight="1" thickBot="1" x14ac:dyDescent="0.4">
      <c r="B18" s="59"/>
      <c r="C18" s="23">
        <v>0.54166666666666663</v>
      </c>
      <c r="D18" s="23" t="str">
        <f>dataMatch!E16</f>
        <v>H</v>
      </c>
      <c r="E18" s="24" t="str">
        <f>dataMatch!F16</f>
        <v>Uruguay</v>
      </c>
      <c r="F18" s="31"/>
      <c r="G18" s="25" t="s">
        <v>103</v>
      </c>
      <c r="H18" s="31"/>
      <c r="I18" s="24" t="str">
        <f>dataMatch!G16</f>
        <v>Korea Republic</v>
      </c>
      <c r="L18" s="22"/>
      <c r="M18" s="27" t="str">
        <f>Modèlegroup!D13</f>
        <v>Wales</v>
      </c>
      <c r="N18" s="45">
        <f>Modèlegroup!E13</f>
        <v>0</v>
      </c>
      <c r="O18" s="45">
        <f>Modèlegroup!F13</f>
        <v>0</v>
      </c>
      <c r="P18" s="45">
        <f>Modèlegroup!G13</f>
        <v>0</v>
      </c>
      <c r="Q18" s="45">
        <f>Modèlegroup!H13</f>
        <v>0</v>
      </c>
      <c r="R18" s="45">
        <f>Modèlegroup!I13</f>
        <v>0</v>
      </c>
      <c r="S18" s="22"/>
      <c r="T18" s="27" t="str">
        <f>Modèlegroup!Y13</f>
        <v>Croatia</v>
      </c>
      <c r="U18" s="45">
        <f>Modèlegroup!Z13</f>
        <v>0</v>
      </c>
      <c r="V18" s="45">
        <f>Modèlegroup!AA13</f>
        <v>0</v>
      </c>
      <c r="W18" s="45">
        <f>Modèlegroup!AB13</f>
        <v>0</v>
      </c>
      <c r="X18" s="45">
        <f>Modèlegroup!AC13</f>
        <v>0</v>
      </c>
      <c r="Y18" s="45">
        <f>Modèlegroup!AD13</f>
        <v>0</v>
      </c>
      <c r="Z18" s="22"/>
    </row>
    <row r="19" spans="2:26" ht="20.149999999999999" customHeight="1" thickBot="1" x14ac:dyDescent="0.4">
      <c r="B19" s="59"/>
      <c r="C19" s="23">
        <v>0.66666666666666663</v>
      </c>
      <c r="D19" s="23" t="str">
        <f>dataMatch!E17</f>
        <v>H</v>
      </c>
      <c r="E19" s="24" t="str">
        <f>dataMatch!F17</f>
        <v>Portugal</v>
      </c>
      <c r="F19" s="31"/>
      <c r="G19" s="25" t="s">
        <v>103</v>
      </c>
      <c r="H19" s="31"/>
      <c r="I19" s="24" t="str">
        <f>dataMatch!G17</f>
        <v>Ghana</v>
      </c>
      <c r="L19" s="22"/>
      <c r="M19" s="22"/>
      <c r="N19" s="22"/>
      <c r="O19" s="22"/>
      <c r="P19" s="22"/>
      <c r="Q19" s="22"/>
      <c r="R19" s="22"/>
      <c r="S19" s="22"/>
      <c r="T19" s="22"/>
      <c r="U19" s="22"/>
      <c r="V19" s="22"/>
      <c r="W19" s="22"/>
      <c r="X19" s="22"/>
      <c r="Y19" s="22"/>
      <c r="Z19" s="22"/>
    </row>
    <row r="20" spans="2:26" ht="20.149999999999999" customHeight="1" thickBot="1" x14ac:dyDescent="0.4">
      <c r="B20" s="59"/>
      <c r="C20" s="23">
        <v>0.79166666666666663</v>
      </c>
      <c r="D20" s="23" t="str">
        <f>dataMatch!E18</f>
        <v>G</v>
      </c>
      <c r="E20" s="24" t="str">
        <f>dataMatch!F18</f>
        <v>Brazil</v>
      </c>
      <c r="F20" s="31"/>
      <c r="G20" s="25" t="s">
        <v>103</v>
      </c>
      <c r="H20" s="31"/>
      <c r="I20" s="24" t="str">
        <f>dataMatch!G18</f>
        <v>Serbia</v>
      </c>
      <c r="L20" s="22"/>
      <c r="M20" s="61" t="s">
        <v>112</v>
      </c>
      <c r="N20" s="61"/>
      <c r="O20" s="61"/>
      <c r="P20" s="61"/>
      <c r="Q20" s="61"/>
      <c r="R20" s="61"/>
      <c r="S20" s="22"/>
      <c r="T20" s="61" t="s">
        <v>113</v>
      </c>
      <c r="U20" s="61"/>
      <c r="V20" s="61"/>
      <c r="W20" s="61"/>
      <c r="X20" s="61"/>
      <c r="Y20" s="61"/>
      <c r="Z20" s="22"/>
    </row>
    <row r="21" spans="2:26" ht="20.149999999999999" customHeight="1" thickTop="1" thickBot="1" x14ac:dyDescent="0.4">
      <c r="B21" s="58" t="s">
        <v>114</v>
      </c>
      <c r="C21" s="23">
        <v>0.41666666666666669</v>
      </c>
      <c r="D21" s="23" t="str">
        <f>dataMatch!E19</f>
        <v>B</v>
      </c>
      <c r="E21" s="24" t="str">
        <f>dataMatch!F19</f>
        <v>Wales</v>
      </c>
      <c r="F21" s="31"/>
      <c r="G21" s="25" t="s">
        <v>103</v>
      </c>
      <c r="H21" s="31"/>
      <c r="I21" s="24" t="str">
        <f>dataMatch!G19</f>
        <v>IR Iran</v>
      </c>
      <c r="L21" s="22"/>
      <c r="M21" s="26" t="s">
        <v>9</v>
      </c>
      <c r="N21" s="46" t="s">
        <v>10</v>
      </c>
      <c r="O21" s="46" t="s">
        <v>11</v>
      </c>
      <c r="P21" s="46" t="s">
        <v>12</v>
      </c>
      <c r="Q21" s="46" t="s">
        <v>13</v>
      </c>
      <c r="R21" s="46" t="s">
        <v>14</v>
      </c>
      <c r="S21" s="22"/>
      <c r="T21" s="26" t="s">
        <v>9</v>
      </c>
      <c r="U21" s="46" t="s">
        <v>10</v>
      </c>
      <c r="V21" s="46" t="s">
        <v>11</v>
      </c>
      <c r="W21" s="46" t="s">
        <v>12</v>
      </c>
      <c r="X21" s="46" t="s">
        <v>13</v>
      </c>
      <c r="Y21" s="46" t="s">
        <v>14</v>
      </c>
      <c r="Z21" s="22"/>
    </row>
    <row r="22" spans="2:26" ht="20.149999999999999" customHeight="1" thickBot="1" x14ac:dyDescent="0.4">
      <c r="B22" s="58"/>
      <c r="C22" s="23">
        <v>0.54166666666666663</v>
      </c>
      <c r="D22" s="23" t="str">
        <f>dataMatch!E20</f>
        <v>A</v>
      </c>
      <c r="E22" s="24" t="str">
        <f>dataMatch!F20</f>
        <v>Qatar</v>
      </c>
      <c r="F22" s="31"/>
      <c r="G22" s="25" t="s">
        <v>103</v>
      </c>
      <c r="H22" s="31"/>
      <c r="I22" s="24" t="str">
        <f>dataMatch!G20</f>
        <v>Senegal</v>
      </c>
      <c r="L22" s="22"/>
      <c r="M22" s="27" t="str">
        <f>Modèlegroup!D17</f>
        <v>Argentina</v>
      </c>
      <c r="N22" s="45">
        <f>Modèlegroup!E17</f>
        <v>0</v>
      </c>
      <c r="O22" s="45">
        <f>Modèlegroup!F17</f>
        <v>0</v>
      </c>
      <c r="P22" s="45">
        <f>Modèlegroup!G17</f>
        <v>0</v>
      </c>
      <c r="Q22" s="45">
        <f>Modèlegroup!H17</f>
        <v>0</v>
      </c>
      <c r="R22" s="45">
        <f>Modèlegroup!I17</f>
        <v>0</v>
      </c>
      <c r="S22" s="22"/>
      <c r="T22" s="27" t="str">
        <f>Modèlegroup!Y17</f>
        <v>Brazil</v>
      </c>
      <c r="U22" s="45">
        <f>Modèlegroup!Z17</f>
        <v>0</v>
      </c>
      <c r="V22" s="45">
        <f>Modèlegroup!AA17</f>
        <v>0</v>
      </c>
      <c r="W22" s="45">
        <f>Modèlegroup!AB17</f>
        <v>0</v>
      </c>
      <c r="X22" s="45">
        <f>Modèlegroup!AC17</f>
        <v>0</v>
      </c>
      <c r="Y22" s="45">
        <f>Modèlegroup!AD17</f>
        <v>0</v>
      </c>
      <c r="Z22" s="22"/>
    </row>
    <row r="23" spans="2:26" ht="20.149999999999999" customHeight="1" thickBot="1" x14ac:dyDescent="0.4">
      <c r="B23" s="58"/>
      <c r="C23" s="23">
        <v>0.66666666666666663</v>
      </c>
      <c r="D23" s="23" t="str">
        <f>dataMatch!E21</f>
        <v>A</v>
      </c>
      <c r="E23" s="24" t="str">
        <f>dataMatch!F21</f>
        <v>Netherlands</v>
      </c>
      <c r="F23" s="31"/>
      <c r="G23" s="25" t="s">
        <v>103</v>
      </c>
      <c r="H23" s="31"/>
      <c r="I23" s="24" t="str">
        <f>dataMatch!G21</f>
        <v>Ecuador</v>
      </c>
      <c r="L23" s="22"/>
      <c r="M23" s="27" t="str">
        <f>Modèlegroup!D18</f>
        <v>Saudi Arabia</v>
      </c>
      <c r="N23" s="45">
        <f>Modèlegroup!E18</f>
        <v>0</v>
      </c>
      <c r="O23" s="45">
        <f>Modèlegroup!F18</f>
        <v>0</v>
      </c>
      <c r="P23" s="45">
        <f>Modèlegroup!G18</f>
        <v>0</v>
      </c>
      <c r="Q23" s="45">
        <f>Modèlegroup!H18</f>
        <v>0</v>
      </c>
      <c r="R23" s="45">
        <f>Modèlegroup!I18</f>
        <v>0</v>
      </c>
      <c r="S23" s="22"/>
      <c r="T23" s="27" t="str">
        <f>Modèlegroup!Y18</f>
        <v>Serbia</v>
      </c>
      <c r="U23" s="45">
        <f>Modèlegroup!Z18</f>
        <v>0</v>
      </c>
      <c r="V23" s="45">
        <f>Modèlegroup!AA18</f>
        <v>0</v>
      </c>
      <c r="W23" s="45">
        <f>Modèlegroup!AB18</f>
        <v>0</v>
      </c>
      <c r="X23" s="45">
        <f>Modèlegroup!AC18</f>
        <v>0</v>
      </c>
      <c r="Y23" s="45">
        <f>Modèlegroup!AD18</f>
        <v>0</v>
      </c>
      <c r="Z23" s="22"/>
    </row>
    <row r="24" spans="2:26" ht="20.149999999999999" customHeight="1" thickBot="1" x14ac:dyDescent="0.4">
      <c r="B24" s="58"/>
      <c r="C24" s="23">
        <v>0.79166666666666663</v>
      </c>
      <c r="D24" s="23" t="str">
        <f>dataMatch!E22</f>
        <v>B</v>
      </c>
      <c r="E24" s="24" t="str">
        <f>dataMatch!F22</f>
        <v>England</v>
      </c>
      <c r="F24" s="31"/>
      <c r="G24" s="25" t="s">
        <v>103</v>
      </c>
      <c r="H24" s="31"/>
      <c r="I24" s="24" t="str">
        <f>dataMatch!G22</f>
        <v>USA</v>
      </c>
      <c r="L24" s="22"/>
      <c r="M24" s="27" t="str">
        <f>Modèlegroup!D19</f>
        <v>Mexico</v>
      </c>
      <c r="N24" s="45">
        <f>Modèlegroup!E19</f>
        <v>0</v>
      </c>
      <c r="O24" s="45">
        <f>Modèlegroup!F19</f>
        <v>0</v>
      </c>
      <c r="P24" s="45">
        <f>Modèlegroup!G19</f>
        <v>0</v>
      </c>
      <c r="Q24" s="45">
        <f>Modèlegroup!H19</f>
        <v>0</v>
      </c>
      <c r="R24" s="45">
        <f>Modèlegroup!I19</f>
        <v>0</v>
      </c>
      <c r="S24" s="22"/>
      <c r="T24" s="27" t="str">
        <f>Modèlegroup!Y19</f>
        <v>Switzerland</v>
      </c>
      <c r="U24" s="45">
        <f>Modèlegroup!Z19</f>
        <v>0</v>
      </c>
      <c r="V24" s="45">
        <f>Modèlegroup!AA19</f>
        <v>0</v>
      </c>
      <c r="W24" s="45">
        <f>Modèlegroup!AB19</f>
        <v>0</v>
      </c>
      <c r="X24" s="45">
        <f>Modèlegroup!AC19</f>
        <v>0</v>
      </c>
      <c r="Y24" s="45">
        <f>Modèlegroup!AD19</f>
        <v>0</v>
      </c>
      <c r="Z24" s="22"/>
    </row>
    <row r="25" spans="2:26" ht="20.149999999999999" customHeight="1" thickBot="1" x14ac:dyDescent="0.4">
      <c r="B25" s="59" t="s">
        <v>115</v>
      </c>
      <c r="C25" s="23">
        <v>0.41666666666666669</v>
      </c>
      <c r="D25" s="23" t="str">
        <f>dataMatch!E23</f>
        <v>D</v>
      </c>
      <c r="E25" s="24" t="str">
        <f>dataMatch!F23</f>
        <v>Tunisia</v>
      </c>
      <c r="F25" s="31"/>
      <c r="G25" s="25" t="s">
        <v>103</v>
      </c>
      <c r="H25" s="31"/>
      <c r="I25" s="24" t="str">
        <f>dataMatch!G23</f>
        <v>Australia</v>
      </c>
      <c r="L25" s="22"/>
      <c r="M25" s="27" t="str">
        <f>Modèlegroup!D20</f>
        <v>Poland</v>
      </c>
      <c r="N25" s="45">
        <f>Modèlegroup!E20</f>
        <v>0</v>
      </c>
      <c r="O25" s="45">
        <f>Modèlegroup!F20</f>
        <v>0</v>
      </c>
      <c r="P25" s="45">
        <f>Modèlegroup!G20</f>
        <v>0</v>
      </c>
      <c r="Q25" s="45">
        <f>Modèlegroup!H20</f>
        <v>0</v>
      </c>
      <c r="R25" s="45">
        <f>Modèlegroup!I20</f>
        <v>0</v>
      </c>
      <c r="S25" s="22"/>
      <c r="T25" s="27" t="str">
        <f>Modèlegroup!Y20</f>
        <v>Cameroon</v>
      </c>
      <c r="U25" s="45">
        <f>Modèlegroup!Z20</f>
        <v>0</v>
      </c>
      <c r="V25" s="45">
        <f>Modèlegroup!AA20</f>
        <v>0</v>
      </c>
      <c r="W25" s="45">
        <f>Modèlegroup!AB20</f>
        <v>0</v>
      </c>
      <c r="X25" s="45">
        <f>Modèlegroup!AC20</f>
        <v>0</v>
      </c>
      <c r="Y25" s="45">
        <f>Modèlegroup!AD20</f>
        <v>0</v>
      </c>
      <c r="Z25" s="22"/>
    </row>
    <row r="26" spans="2:26" ht="20.149999999999999" customHeight="1" thickBot="1" x14ac:dyDescent="0.4">
      <c r="B26" s="59"/>
      <c r="C26" s="23">
        <v>0.54166666666666663</v>
      </c>
      <c r="D26" s="23" t="str">
        <f>dataMatch!E24</f>
        <v>C</v>
      </c>
      <c r="E26" s="24" t="str">
        <f>dataMatch!F24</f>
        <v>Poland</v>
      </c>
      <c r="F26" s="31"/>
      <c r="G26" s="25" t="s">
        <v>103</v>
      </c>
      <c r="H26" s="31"/>
      <c r="I26" s="24" t="str">
        <f>dataMatch!G24</f>
        <v>Saudi Arabia</v>
      </c>
      <c r="L26" s="22"/>
      <c r="M26" s="22"/>
      <c r="N26" s="22"/>
      <c r="O26" s="22"/>
      <c r="P26" s="22"/>
      <c r="Q26" s="22"/>
      <c r="R26" s="22"/>
      <c r="S26" s="22"/>
      <c r="T26" s="22"/>
      <c r="U26" s="22"/>
      <c r="V26" s="22"/>
      <c r="W26" s="22"/>
      <c r="X26" s="22"/>
      <c r="Y26" s="22"/>
      <c r="Z26" s="22"/>
    </row>
    <row r="27" spans="2:26" ht="20.149999999999999" customHeight="1" thickBot="1" x14ac:dyDescent="0.4">
      <c r="B27" s="59"/>
      <c r="C27" s="23">
        <v>0.66666666666666663</v>
      </c>
      <c r="D27" s="23" t="str">
        <f>dataMatch!E25</f>
        <v>D</v>
      </c>
      <c r="E27" s="24" t="str">
        <f>dataMatch!F25</f>
        <v>France</v>
      </c>
      <c r="F27" s="31"/>
      <c r="G27" s="25" t="s">
        <v>103</v>
      </c>
      <c r="H27" s="31"/>
      <c r="I27" s="24" t="str">
        <f>dataMatch!G25</f>
        <v>Denmark</v>
      </c>
      <c r="L27" s="22"/>
      <c r="M27" s="61" t="s">
        <v>116</v>
      </c>
      <c r="N27" s="61"/>
      <c r="O27" s="61"/>
      <c r="P27" s="61"/>
      <c r="Q27" s="61"/>
      <c r="R27" s="61"/>
      <c r="S27" s="22"/>
      <c r="T27" s="61" t="s">
        <v>117</v>
      </c>
      <c r="U27" s="61"/>
      <c r="V27" s="61"/>
      <c r="W27" s="61"/>
      <c r="X27" s="61"/>
      <c r="Y27" s="61"/>
      <c r="Z27" s="22"/>
    </row>
    <row r="28" spans="2:26" ht="20.149999999999999" customHeight="1" thickTop="1" thickBot="1" x14ac:dyDescent="0.4">
      <c r="B28" s="59"/>
      <c r="C28" s="23">
        <v>0.79166666666666663</v>
      </c>
      <c r="D28" s="23" t="str">
        <f>dataMatch!E26</f>
        <v>C</v>
      </c>
      <c r="E28" s="24" t="str">
        <f>dataMatch!F26</f>
        <v>Argentina</v>
      </c>
      <c r="F28" s="31"/>
      <c r="G28" s="25" t="s">
        <v>103</v>
      </c>
      <c r="H28" s="31"/>
      <c r="I28" s="24" t="str">
        <f>dataMatch!G26</f>
        <v>Mexico</v>
      </c>
      <c r="L28" s="22"/>
      <c r="M28" s="26" t="s">
        <v>9</v>
      </c>
      <c r="N28" s="46" t="s">
        <v>10</v>
      </c>
      <c r="O28" s="46" t="s">
        <v>11</v>
      </c>
      <c r="P28" s="46" t="s">
        <v>12</v>
      </c>
      <c r="Q28" s="46" t="s">
        <v>13</v>
      </c>
      <c r="R28" s="46" t="s">
        <v>14</v>
      </c>
      <c r="S28" s="22"/>
      <c r="T28" s="26" t="s">
        <v>9</v>
      </c>
      <c r="U28" s="46" t="s">
        <v>10</v>
      </c>
      <c r="V28" s="46" t="s">
        <v>11</v>
      </c>
      <c r="W28" s="46" t="s">
        <v>12</v>
      </c>
      <c r="X28" s="46" t="s">
        <v>13</v>
      </c>
      <c r="Y28" s="46" t="s">
        <v>14</v>
      </c>
      <c r="Z28" s="22"/>
    </row>
    <row r="29" spans="2:26" ht="20.149999999999999" customHeight="1" thickBot="1" x14ac:dyDescent="0.4">
      <c r="B29" s="58" t="s">
        <v>118</v>
      </c>
      <c r="C29" s="23">
        <v>0.41666666666666669</v>
      </c>
      <c r="D29" s="23" t="str">
        <f>dataMatch!E27</f>
        <v>E</v>
      </c>
      <c r="E29" s="24" t="str">
        <f>dataMatch!F27</f>
        <v>Japan</v>
      </c>
      <c r="F29" s="31"/>
      <c r="G29" s="25" t="s">
        <v>103</v>
      </c>
      <c r="H29" s="31"/>
      <c r="I29" s="24" t="str">
        <f>dataMatch!G27</f>
        <v>Costa Rica</v>
      </c>
      <c r="L29" s="22"/>
      <c r="M29" s="27" t="str">
        <f>Modèlegroup!D24</f>
        <v>France</v>
      </c>
      <c r="N29" s="45">
        <f>Modèlegroup!E24</f>
        <v>0</v>
      </c>
      <c r="O29" s="45">
        <f>Modèlegroup!F24</f>
        <v>0</v>
      </c>
      <c r="P29" s="45">
        <f>Modèlegroup!G24</f>
        <v>0</v>
      </c>
      <c r="Q29" s="45">
        <f>Modèlegroup!H24</f>
        <v>0</v>
      </c>
      <c r="R29" s="45">
        <f>Modèlegroup!I24</f>
        <v>0</v>
      </c>
      <c r="S29" s="22"/>
      <c r="T29" s="27" t="str">
        <f>Modèlegroup!Y24</f>
        <v>Portugal</v>
      </c>
      <c r="U29" s="45">
        <f>Modèlegroup!Z24</f>
        <v>0</v>
      </c>
      <c r="V29" s="45">
        <f>Modèlegroup!AA24</f>
        <v>0</v>
      </c>
      <c r="W29" s="45">
        <f>Modèlegroup!AB24</f>
        <v>0</v>
      </c>
      <c r="X29" s="45">
        <f>Modèlegroup!AC24</f>
        <v>0</v>
      </c>
      <c r="Y29" s="45">
        <f>Modèlegroup!AD24</f>
        <v>0</v>
      </c>
      <c r="Z29" s="22"/>
    </row>
    <row r="30" spans="2:26" ht="20.149999999999999" customHeight="1" thickBot="1" x14ac:dyDescent="0.4">
      <c r="B30" s="58"/>
      <c r="C30" s="23">
        <v>0.54166666666666663</v>
      </c>
      <c r="D30" s="23" t="str">
        <f>dataMatch!E28</f>
        <v>F</v>
      </c>
      <c r="E30" s="24" t="str">
        <f>dataMatch!F28</f>
        <v>Belgium</v>
      </c>
      <c r="F30" s="31"/>
      <c r="G30" s="25" t="s">
        <v>103</v>
      </c>
      <c r="H30" s="31"/>
      <c r="I30" s="24" t="str">
        <f>dataMatch!G28</f>
        <v>Morocco</v>
      </c>
      <c r="L30" s="22"/>
      <c r="M30" s="27" t="str">
        <f>Modèlegroup!D25</f>
        <v>Denmark</v>
      </c>
      <c r="N30" s="45">
        <f>Modèlegroup!E25</f>
        <v>0</v>
      </c>
      <c r="O30" s="45">
        <f>Modèlegroup!F25</f>
        <v>0</v>
      </c>
      <c r="P30" s="45">
        <f>Modèlegroup!G25</f>
        <v>0</v>
      </c>
      <c r="Q30" s="45">
        <f>Modèlegroup!H25</f>
        <v>0</v>
      </c>
      <c r="R30" s="45">
        <f>Modèlegroup!I25</f>
        <v>0</v>
      </c>
      <c r="S30" s="22"/>
      <c r="T30" s="27" t="str">
        <f>Modèlegroup!Y25</f>
        <v>Ghana</v>
      </c>
      <c r="U30" s="45">
        <f>Modèlegroup!Z25</f>
        <v>0</v>
      </c>
      <c r="V30" s="45">
        <f>Modèlegroup!AA25</f>
        <v>0</v>
      </c>
      <c r="W30" s="45">
        <f>Modèlegroup!AB25</f>
        <v>0</v>
      </c>
      <c r="X30" s="45">
        <f>Modèlegroup!AC25</f>
        <v>0</v>
      </c>
      <c r="Y30" s="45">
        <f>Modèlegroup!AD25</f>
        <v>0</v>
      </c>
      <c r="Z30" s="22"/>
    </row>
    <row r="31" spans="2:26" ht="20.149999999999999" customHeight="1" thickBot="1" x14ac:dyDescent="0.4">
      <c r="B31" s="58"/>
      <c r="C31" s="23">
        <v>0.66666666666666663</v>
      </c>
      <c r="D31" s="23" t="str">
        <f>dataMatch!E29</f>
        <v>F</v>
      </c>
      <c r="E31" s="24" t="str">
        <f>dataMatch!F29</f>
        <v>Croatia</v>
      </c>
      <c r="F31" s="31"/>
      <c r="G31" s="25" t="s">
        <v>103</v>
      </c>
      <c r="H31" s="31"/>
      <c r="I31" s="24" t="str">
        <f>dataMatch!G29</f>
        <v>Canada</v>
      </c>
      <c r="L31" s="22"/>
      <c r="M31" s="27" t="str">
        <f>Modèlegroup!D26</f>
        <v>Tunisia</v>
      </c>
      <c r="N31" s="45">
        <f>Modèlegroup!E26</f>
        <v>0</v>
      </c>
      <c r="O31" s="45">
        <f>Modèlegroup!F26</f>
        <v>0</v>
      </c>
      <c r="P31" s="45">
        <f>Modèlegroup!G26</f>
        <v>0</v>
      </c>
      <c r="Q31" s="45">
        <f>Modèlegroup!H26</f>
        <v>0</v>
      </c>
      <c r="R31" s="45">
        <f>Modèlegroup!I26</f>
        <v>0</v>
      </c>
      <c r="S31" s="22"/>
      <c r="T31" s="27" t="str">
        <f>Modèlegroup!Y26</f>
        <v>Uruguay</v>
      </c>
      <c r="U31" s="45">
        <f>Modèlegroup!Z26</f>
        <v>0</v>
      </c>
      <c r="V31" s="45">
        <f>Modèlegroup!AA26</f>
        <v>0</v>
      </c>
      <c r="W31" s="45">
        <f>Modèlegroup!AB26</f>
        <v>0</v>
      </c>
      <c r="X31" s="45">
        <f>Modèlegroup!AC26</f>
        <v>0</v>
      </c>
      <c r="Y31" s="45">
        <f>Modèlegroup!AD26</f>
        <v>0</v>
      </c>
      <c r="Z31" s="22"/>
    </row>
    <row r="32" spans="2:26" ht="20.149999999999999" customHeight="1" thickBot="1" x14ac:dyDescent="0.4">
      <c r="B32" s="58"/>
      <c r="C32" s="23">
        <v>0.79166666666666663</v>
      </c>
      <c r="D32" s="23" t="str">
        <f>dataMatch!E30</f>
        <v>E</v>
      </c>
      <c r="E32" s="24" t="str">
        <f>dataMatch!F30</f>
        <v>Spain</v>
      </c>
      <c r="F32" s="31"/>
      <c r="G32" s="25" t="s">
        <v>103</v>
      </c>
      <c r="H32" s="31"/>
      <c r="I32" s="24" t="str">
        <f>dataMatch!G30</f>
        <v>Germany</v>
      </c>
      <c r="L32" s="22"/>
      <c r="M32" s="27" t="str">
        <f>Modèlegroup!D27</f>
        <v>Australia</v>
      </c>
      <c r="N32" s="45">
        <f>Modèlegroup!E27</f>
        <v>0</v>
      </c>
      <c r="O32" s="45">
        <f>Modèlegroup!F27</f>
        <v>0</v>
      </c>
      <c r="P32" s="45">
        <f>Modèlegroup!G27</f>
        <v>0</v>
      </c>
      <c r="Q32" s="45">
        <f>Modèlegroup!H27</f>
        <v>0</v>
      </c>
      <c r="R32" s="45">
        <f>Modèlegroup!I27</f>
        <v>0</v>
      </c>
      <c r="S32" s="22"/>
      <c r="T32" s="27" t="str">
        <f>Modèlegroup!Y27</f>
        <v>Korea Republic</v>
      </c>
      <c r="U32" s="45">
        <f>Modèlegroup!Z27</f>
        <v>0</v>
      </c>
      <c r="V32" s="45">
        <f>Modèlegroup!AA27</f>
        <v>0</v>
      </c>
      <c r="W32" s="45">
        <f>Modèlegroup!AB27</f>
        <v>0</v>
      </c>
      <c r="X32" s="45">
        <f>Modèlegroup!AC27</f>
        <v>0</v>
      </c>
      <c r="Y32" s="45">
        <f>Modèlegroup!AD27</f>
        <v>0</v>
      </c>
      <c r="Z32" s="22"/>
    </row>
    <row r="33" spans="2:26" ht="20.149999999999999" customHeight="1" thickBot="1" x14ac:dyDescent="0.4">
      <c r="B33" s="59" t="s">
        <v>119</v>
      </c>
      <c r="C33" s="23">
        <v>0.41666666666666669</v>
      </c>
      <c r="D33" s="23" t="str">
        <f>dataMatch!E31</f>
        <v>G</v>
      </c>
      <c r="E33" s="24" t="str">
        <f>dataMatch!F31</f>
        <v>Cameroon</v>
      </c>
      <c r="F33" s="31"/>
      <c r="G33" s="25" t="s">
        <v>103</v>
      </c>
      <c r="H33" s="31"/>
      <c r="I33" s="24" t="str">
        <f>dataMatch!G31</f>
        <v>Serbia</v>
      </c>
      <c r="L33" s="22"/>
      <c r="M33" s="22"/>
      <c r="N33" s="22"/>
      <c r="O33" s="22"/>
      <c r="P33" s="22"/>
      <c r="Q33" s="22"/>
      <c r="R33" s="22"/>
      <c r="S33" s="22"/>
      <c r="T33" s="22"/>
      <c r="U33" s="22"/>
      <c r="V33" s="22"/>
      <c r="W33" s="22"/>
      <c r="X33" s="22"/>
      <c r="Y33" s="22"/>
      <c r="Z33" s="22"/>
    </row>
    <row r="34" spans="2:26" ht="20.149999999999999" customHeight="1" thickBot="1" x14ac:dyDescent="0.4">
      <c r="B34" s="59"/>
      <c r="C34" s="23">
        <v>0.54166666666666663</v>
      </c>
      <c r="D34" s="23" t="str">
        <f>dataMatch!E32</f>
        <v>H</v>
      </c>
      <c r="E34" s="24" t="str">
        <f>dataMatch!F32</f>
        <v>Korea Republic</v>
      </c>
      <c r="F34" s="31"/>
      <c r="G34" s="25" t="s">
        <v>103</v>
      </c>
      <c r="H34" s="31"/>
      <c r="I34" s="24" t="str">
        <f>dataMatch!G32</f>
        <v>Ghana</v>
      </c>
    </row>
    <row r="35" spans="2:26" ht="20.149999999999999" customHeight="1" thickBot="1" x14ac:dyDescent="0.4">
      <c r="B35" s="59"/>
      <c r="C35" s="23">
        <v>0.66666666666666663</v>
      </c>
      <c r="D35" s="23" t="str">
        <f>dataMatch!E33</f>
        <v>G</v>
      </c>
      <c r="E35" s="24" t="str">
        <f>dataMatch!F33</f>
        <v>Brazil</v>
      </c>
      <c r="F35" s="31"/>
      <c r="G35" s="25" t="s">
        <v>103</v>
      </c>
      <c r="H35" s="31"/>
      <c r="I35" s="24" t="str">
        <f>dataMatch!G33</f>
        <v>Switzerland</v>
      </c>
    </row>
    <row r="36" spans="2:26" ht="20.149999999999999" customHeight="1" thickBot="1" x14ac:dyDescent="0.4">
      <c r="B36" s="59"/>
      <c r="C36" s="23">
        <v>0.79166666666666663</v>
      </c>
      <c r="D36" s="23" t="str">
        <f>dataMatch!E34</f>
        <v>H</v>
      </c>
      <c r="E36" s="24" t="str">
        <f>dataMatch!F34</f>
        <v>Portugal</v>
      </c>
      <c r="F36" s="31"/>
      <c r="G36" s="25" t="s">
        <v>103</v>
      </c>
      <c r="H36" s="31"/>
      <c r="I36" s="24" t="str">
        <f>dataMatch!G34</f>
        <v>Uruguay</v>
      </c>
    </row>
    <row r="37" spans="2:26" ht="20.149999999999999" customHeight="1" thickBot="1" x14ac:dyDescent="0.4">
      <c r="B37" s="58" t="s">
        <v>120</v>
      </c>
      <c r="C37" s="23">
        <v>0.625</v>
      </c>
      <c r="D37" s="23" t="str">
        <f>dataMatch!E35</f>
        <v>A</v>
      </c>
      <c r="E37" s="24" t="str">
        <f>dataMatch!F35</f>
        <v>Ecuador</v>
      </c>
      <c r="F37" s="31"/>
      <c r="G37" s="25" t="s">
        <v>103</v>
      </c>
      <c r="H37" s="31"/>
      <c r="I37" s="24" t="str">
        <f>dataMatch!G35</f>
        <v>Senegal</v>
      </c>
    </row>
    <row r="38" spans="2:26" ht="20.149999999999999" customHeight="1" thickBot="1" x14ac:dyDescent="0.4">
      <c r="B38" s="58"/>
      <c r="C38" s="23">
        <v>0.625</v>
      </c>
      <c r="D38" s="23" t="str">
        <f>dataMatch!E36</f>
        <v>A</v>
      </c>
      <c r="E38" s="24" t="str">
        <f>dataMatch!F36</f>
        <v>Netherlands</v>
      </c>
      <c r="F38" s="31"/>
      <c r="G38" s="25" t="s">
        <v>103</v>
      </c>
      <c r="H38" s="31"/>
      <c r="I38" s="24" t="str">
        <f>dataMatch!G36</f>
        <v>Qatar</v>
      </c>
    </row>
    <row r="39" spans="2:26" ht="20.149999999999999" customHeight="1" thickBot="1" x14ac:dyDescent="0.4">
      <c r="B39" s="58"/>
      <c r="C39" s="23">
        <v>0.79166666666666663</v>
      </c>
      <c r="D39" s="23" t="str">
        <f>dataMatch!E37</f>
        <v>B</v>
      </c>
      <c r="E39" s="24" t="str">
        <f>dataMatch!F37</f>
        <v>Wales</v>
      </c>
      <c r="F39" s="31"/>
      <c r="G39" s="25" t="s">
        <v>103</v>
      </c>
      <c r="H39" s="31"/>
      <c r="I39" s="24" t="str">
        <f>dataMatch!G37</f>
        <v>England</v>
      </c>
    </row>
    <row r="40" spans="2:26" ht="20.149999999999999" customHeight="1" thickBot="1" x14ac:dyDescent="0.4">
      <c r="B40" s="58"/>
      <c r="C40" s="23">
        <v>0.79166666666666663</v>
      </c>
      <c r="D40" s="23" t="str">
        <f>dataMatch!E38</f>
        <v>B</v>
      </c>
      <c r="E40" s="24" t="str">
        <f>dataMatch!F38</f>
        <v>IR Iran</v>
      </c>
      <c r="F40" s="31"/>
      <c r="G40" s="25" t="s">
        <v>103</v>
      </c>
      <c r="H40" s="31"/>
      <c r="I40" s="24" t="str">
        <f>dataMatch!G38</f>
        <v>USA</v>
      </c>
    </row>
    <row r="41" spans="2:26" ht="20.149999999999999" customHeight="1" thickBot="1" x14ac:dyDescent="0.4">
      <c r="B41" s="59" t="s">
        <v>121</v>
      </c>
      <c r="C41" s="23">
        <v>0.625</v>
      </c>
      <c r="D41" s="23" t="str">
        <f>dataMatch!E39</f>
        <v>D</v>
      </c>
      <c r="E41" s="24" t="str">
        <f>dataMatch!F39</f>
        <v>Australia</v>
      </c>
      <c r="F41" s="31"/>
      <c r="G41" s="25" t="s">
        <v>103</v>
      </c>
      <c r="H41" s="31"/>
      <c r="I41" s="24" t="str">
        <f>dataMatch!G39</f>
        <v>Denmark</v>
      </c>
    </row>
    <row r="42" spans="2:26" ht="20.149999999999999" customHeight="1" thickBot="1" x14ac:dyDescent="0.4">
      <c r="B42" s="59"/>
      <c r="C42" s="23">
        <v>0.625</v>
      </c>
      <c r="D42" s="23" t="str">
        <f>dataMatch!E40</f>
        <v>D</v>
      </c>
      <c r="E42" s="24" t="str">
        <f>dataMatch!F40</f>
        <v>Tunisia</v>
      </c>
      <c r="F42" s="31"/>
      <c r="G42" s="25" t="s">
        <v>103</v>
      </c>
      <c r="H42" s="31"/>
      <c r="I42" s="24" t="str">
        <f>dataMatch!G40</f>
        <v>France</v>
      </c>
    </row>
    <row r="43" spans="2:26" ht="20.149999999999999" customHeight="1" thickBot="1" x14ac:dyDescent="0.4">
      <c r="B43" s="59"/>
      <c r="C43" s="23">
        <v>0.79166666666666663</v>
      </c>
      <c r="D43" s="23" t="str">
        <f>dataMatch!E41</f>
        <v>C</v>
      </c>
      <c r="E43" s="24" t="str">
        <f>dataMatch!F41</f>
        <v>Poland</v>
      </c>
      <c r="F43" s="31"/>
      <c r="G43" s="25" t="s">
        <v>103</v>
      </c>
      <c r="H43" s="31"/>
      <c r="I43" s="24" t="str">
        <f>dataMatch!G41</f>
        <v>Argentina</v>
      </c>
    </row>
    <row r="44" spans="2:26" ht="20.149999999999999" customHeight="1" thickBot="1" x14ac:dyDescent="0.4">
      <c r="B44" s="59"/>
      <c r="C44" s="23">
        <v>0.79166666666666663</v>
      </c>
      <c r="D44" s="23" t="str">
        <f>dataMatch!E42</f>
        <v>C</v>
      </c>
      <c r="E44" s="24" t="str">
        <f>dataMatch!F42</f>
        <v>Saudi Arabia</v>
      </c>
      <c r="F44" s="31"/>
      <c r="G44" s="25" t="s">
        <v>103</v>
      </c>
      <c r="H44" s="31"/>
      <c r="I44" s="24" t="str">
        <f>dataMatch!G42</f>
        <v>Mexico</v>
      </c>
    </row>
    <row r="45" spans="2:26" ht="20.149999999999999" customHeight="1" thickBot="1" x14ac:dyDescent="0.4">
      <c r="B45" s="58" t="s">
        <v>122</v>
      </c>
      <c r="C45" s="23">
        <v>0.625</v>
      </c>
      <c r="D45" s="23" t="str">
        <f>dataMatch!E43</f>
        <v>F</v>
      </c>
      <c r="E45" s="24" t="str">
        <f>dataMatch!F43</f>
        <v>Croatia</v>
      </c>
      <c r="F45" s="31"/>
      <c r="G45" s="25" t="s">
        <v>103</v>
      </c>
      <c r="H45" s="31"/>
      <c r="I45" s="24" t="str">
        <f>dataMatch!G43</f>
        <v>Belgium</v>
      </c>
    </row>
    <row r="46" spans="2:26" ht="20.149999999999999" customHeight="1" thickBot="1" x14ac:dyDescent="0.4">
      <c r="B46" s="58"/>
      <c r="C46" s="23">
        <v>0.625</v>
      </c>
      <c r="D46" s="23" t="str">
        <f>dataMatch!E44</f>
        <v>F</v>
      </c>
      <c r="E46" s="24" t="str">
        <f>dataMatch!F44</f>
        <v>Canada</v>
      </c>
      <c r="F46" s="31"/>
      <c r="G46" s="25" t="s">
        <v>103</v>
      </c>
      <c r="H46" s="31"/>
      <c r="I46" s="24" t="str">
        <f>dataMatch!G44</f>
        <v>Morocco</v>
      </c>
    </row>
    <row r="47" spans="2:26" ht="20.149999999999999" customHeight="1" thickBot="1" x14ac:dyDescent="0.4">
      <c r="B47" s="58"/>
      <c r="C47" s="23">
        <v>0.79166666666666663</v>
      </c>
      <c r="D47" s="23" t="str">
        <f>dataMatch!E45</f>
        <v>E</v>
      </c>
      <c r="E47" s="24" t="str">
        <f>dataMatch!F45</f>
        <v>Japan</v>
      </c>
      <c r="F47" s="31"/>
      <c r="G47" s="25" t="s">
        <v>103</v>
      </c>
      <c r="H47" s="31"/>
      <c r="I47" s="24" t="str">
        <f>dataMatch!G45</f>
        <v>Spain</v>
      </c>
    </row>
    <row r="48" spans="2:26" ht="20.149999999999999" customHeight="1" thickBot="1" x14ac:dyDescent="0.4">
      <c r="B48" s="58"/>
      <c r="C48" s="23">
        <v>0.79166666666666663</v>
      </c>
      <c r="D48" s="23" t="str">
        <f>dataMatch!E46</f>
        <v>E</v>
      </c>
      <c r="E48" s="24" t="str">
        <f>dataMatch!F46</f>
        <v>Costa Rica</v>
      </c>
      <c r="F48" s="31"/>
      <c r="G48" s="25" t="s">
        <v>103</v>
      </c>
      <c r="H48" s="31"/>
      <c r="I48" s="24" t="str">
        <f>dataMatch!G46</f>
        <v>Germany</v>
      </c>
    </row>
    <row r="49" spans="2:9" ht="20.149999999999999" customHeight="1" thickBot="1" x14ac:dyDescent="0.4">
      <c r="B49" s="59" t="s">
        <v>123</v>
      </c>
      <c r="C49" s="23">
        <v>0.625</v>
      </c>
      <c r="D49" s="23" t="str">
        <f>dataMatch!E47</f>
        <v>H</v>
      </c>
      <c r="E49" s="24" t="str">
        <f>dataMatch!F47</f>
        <v>Ghana</v>
      </c>
      <c r="F49" s="31"/>
      <c r="G49" s="25" t="s">
        <v>103</v>
      </c>
      <c r="H49" s="31"/>
      <c r="I49" s="24" t="str">
        <f>dataMatch!G47</f>
        <v>Uruguay</v>
      </c>
    </row>
    <row r="50" spans="2:9" ht="20.149999999999999" customHeight="1" thickBot="1" x14ac:dyDescent="0.4">
      <c r="B50" s="59"/>
      <c r="C50" s="23">
        <v>0.625</v>
      </c>
      <c r="D50" s="23" t="str">
        <f>dataMatch!E48</f>
        <v>H</v>
      </c>
      <c r="E50" s="24" t="str">
        <f>dataMatch!F48</f>
        <v>Korea Republic</v>
      </c>
      <c r="F50" s="31"/>
      <c r="G50" s="25" t="s">
        <v>103</v>
      </c>
      <c r="H50" s="31"/>
      <c r="I50" s="24" t="str">
        <f>dataMatch!G48</f>
        <v>Portugal</v>
      </c>
    </row>
    <row r="51" spans="2:9" ht="20.149999999999999" customHeight="1" thickBot="1" x14ac:dyDescent="0.4">
      <c r="B51" s="59"/>
      <c r="C51" s="23">
        <v>0.79166666666666663</v>
      </c>
      <c r="D51" s="23" t="str">
        <f>dataMatch!E49</f>
        <v>G</v>
      </c>
      <c r="E51" s="24" t="str">
        <f>dataMatch!F49</f>
        <v>Serbia</v>
      </c>
      <c r="F51" s="31"/>
      <c r="G51" s="25" t="s">
        <v>103</v>
      </c>
      <c r="H51" s="31"/>
      <c r="I51" s="24" t="str">
        <f>dataMatch!G49</f>
        <v>Switzerland</v>
      </c>
    </row>
    <row r="52" spans="2:9" ht="20.149999999999999" customHeight="1" thickBot="1" x14ac:dyDescent="0.4">
      <c r="B52" s="59"/>
      <c r="C52" s="23">
        <v>0.79166666666666663</v>
      </c>
      <c r="D52" s="23" t="str">
        <f>dataMatch!E50</f>
        <v>G</v>
      </c>
      <c r="E52" s="24" t="str">
        <f>dataMatch!F50</f>
        <v>Cameroon</v>
      </c>
      <c r="F52" s="32"/>
      <c r="G52" s="25" t="s">
        <v>103</v>
      </c>
      <c r="H52" s="32"/>
      <c r="I52" s="24" t="str">
        <f>dataMatch!G50</f>
        <v>Brazil</v>
      </c>
    </row>
    <row r="53" spans="2:9" ht="20.149999999999999" customHeight="1" thickTop="1" thickBot="1" x14ac:dyDescent="0.4">
      <c r="B53" s="55" t="s">
        <v>124</v>
      </c>
      <c r="C53" s="56"/>
      <c r="D53" s="56"/>
      <c r="E53" s="56"/>
      <c r="F53" s="56"/>
      <c r="G53" s="56"/>
      <c r="H53" s="56"/>
      <c r="I53" s="57"/>
    </row>
    <row r="54" spans="2:9" ht="22" customHeight="1" outlineLevel="1" thickTop="1" thickBot="1" x14ac:dyDescent="0.4">
      <c r="B54" s="52" t="s">
        <v>125</v>
      </c>
      <c r="C54" s="29">
        <v>0.625</v>
      </c>
      <c r="D54" s="18" t="s">
        <v>126</v>
      </c>
      <c r="E54" s="7" t="str">
        <f>M8</f>
        <v>Qatar</v>
      </c>
      <c r="F54" s="31"/>
      <c r="G54" s="25" t="s">
        <v>103</v>
      </c>
      <c r="H54" s="31"/>
      <c r="I54" s="7" t="str">
        <f>M16</f>
        <v>IR Iran</v>
      </c>
    </row>
    <row r="55" spans="2:9" ht="22" customHeight="1" outlineLevel="1" thickBot="1" x14ac:dyDescent="0.4">
      <c r="B55" s="60"/>
      <c r="C55" s="29">
        <v>0.79166666666666663</v>
      </c>
      <c r="D55" s="18" t="s">
        <v>127</v>
      </c>
      <c r="E55" s="7" t="str">
        <f>M22</f>
        <v>Argentina</v>
      </c>
      <c r="F55" s="31"/>
      <c r="G55" s="25" t="s">
        <v>103</v>
      </c>
      <c r="H55" s="31"/>
      <c r="I55" s="7" t="str">
        <f>M30</f>
        <v>Denmark</v>
      </c>
    </row>
    <row r="56" spans="2:9" ht="22" customHeight="1" outlineLevel="1" thickBot="1" x14ac:dyDescent="0.4">
      <c r="B56" s="54" t="s">
        <v>128</v>
      </c>
      <c r="C56" s="29">
        <v>0.625</v>
      </c>
      <c r="D56" s="18" t="s">
        <v>129</v>
      </c>
      <c r="E56" s="7" t="str">
        <f>M29</f>
        <v>France</v>
      </c>
      <c r="F56" s="31"/>
      <c r="G56" s="25" t="s">
        <v>103</v>
      </c>
      <c r="H56" s="31"/>
      <c r="I56" s="7" t="str">
        <f>M23</f>
        <v>Saudi Arabia</v>
      </c>
    </row>
    <row r="57" spans="2:9" ht="22" customHeight="1" outlineLevel="1" thickBot="1" x14ac:dyDescent="0.4">
      <c r="B57" s="54"/>
      <c r="C57" s="29">
        <v>0.79166666666666663</v>
      </c>
      <c r="D57" s="18" t="s">
        <v>130</v>
      </c>
      <c r="E57" s="7" t="str">
        <f>M15</f>
        <v>England</v>
      </c>
      <c r="F57" s="31"/>
      <c r="G57" s="25" t="s">
        <v>103</v>
      </c>
      <c r="H57" s="31"/>
      <c r="I57" s="7" t="str">
        <f>M9</f>
        <v>Ecuador</v>
      </c>
    </row>
    <row r="58" spans="2:9" ht="22" customHeight="1" outlineLevel="1" thickBot="1" x14ac:dyDescent="0.4">
      <c r="B58" s="53" t="s">
        <v>131</v>
      </c>
      <c r="C58" s="29">
        <v>0.625</v>
      </c>
      <c r="D58" s="18" t="s">
        <v>132</v>
      </c>
      <c r="E58" s="7" t="str">
        <f>T8</f>
        <v>Spain</v>
      </c>
      <c r="F58" s="31"/>
      <c r="G58" s="25" t="s">
        <v>103</v>
      </c>
      <c r="H58" s="31"/>
      <c r="I58" s="7" t="str">
        <f>T16</f>
        <v>Canada</v>
      </c>
    </row>
    <row r="59" spans="2:9" ht="22" customHeight="1" outlineLevel="1" thickBot="1" x14ac:dyDescent="0.4">
      <c r="B59" s="53"/>
      <c r="C59" s="29">
        <v>0.79166666666666663</v>
      </c>
      <c r="D59" s="18" t="s">
        <v>133</v>
      </c>
      <c r="E59" s="7" t="str">
        <f>T22</f>
        <v>Brazil</v>
      </c>
      <c r="F59" s="31"/>
      <c r="G59" s="25" t="s">
        <v>103</v>
      </c>
      <c r="H59" s="31"/>
      <c r="I59" s="7" t="str">
        <f>T30</f>
        <v>Ghana</v>
      </c>
    </row>
    <row r="60" spans="2:9" ht="22" customHeight="1" outlineLevel="1" thickBot="1" x14ac:dyDescent="0.4">
      <c r="B60" s="54" t="s">
        <v>134</v>
      </c>
      <c r="C60" s="29">
        <v>0.625</v>
      </c>
      <c r="D60" s="18" t="s">
        <v>135</v>
      </c>
      <c r="E60" s="7" t="str">
        <f>T15</f>
        <v>Belgium</v>
      </c>
      <c r="F60" s="31"/>
      <c r="G60" s="25" t="s">
        <v>103</v>
      </c>
      <c r="H60" s="31"/>
      <c r="I60" s="7" t="str">
        <f>T9</f>
        <v>Germany</v>
      </c>
    </row>
    <row r="61" spans="2:9" ht="22" customHeight="1" outlineLevel="1" thickBot="1" x14ac:dyDescent="0.4">
      <c r="B61" s="54"/>
      <c r="C61" s="29">
        <v>0.79166666666666663</v>
      </c>
      <c r="D61" s="18" t="s">
        <v>136</v>
      </c>
      <c r="E61" s="7" t="str">
        <f>T29</f>
        <v>Portugal</v>
      </c>
      <c r="F61" s="32"/>
      <c r="G61" s="25" t="s">
        <v>103</v>
      </c>
      <c r="H61" s="32"/>
      <c r="I61" s="7" t="str">
        <f>T23</f>
        <v>Serbia</v>
      </c>
    </row>
    <row r="62" spans="2:9" ht="22" customHeight="1" thickTop="1" thickBot="1" x14ac:dyDescent="0.4">
      <c r="B62" s="55" t="s">
        <v>137</v>
      </c>
      <c r="C62" s="56"/>
      <c r="D62" s="56"/>
      <c r="E62" s="56"/>
      <c r="F62" s="56"/>
      <c r="G62" s="56"/>
      <c r="H62" s="56"/>
      <c r="I62" s="57"/>
    </row>
    <row r="63" spans="2:9" ht="22" customHeight="1" outlineLevel="1" thickTop="1" thickBot="1" x14ac:dyDescent="0.4">
      <c r="B63" s="52" t="s">
        <v>138</v>
      </c>
      <c r="C63" s="29">
        <v>0.625</v>
      </c>
      <c r="E63" s="7" t="str">
        <f>IF(F58&gt;H58,E58,I58)</f>
        <v>Canada</v>
      </c>
      <c r="F63" s="31"/>
      <c r="G63" s="25" t="s">
        <v>103</v>
      </c>
      <c r="H63" s="31"/>
      <c r="I63" s="7" t="str">
        <f>IF(F59&gt;H59,E59,I59)</f>
        <v>Ghana</v>
      </c>
    </row>
    <row r="64" spans="2:9" ht="22" customHeight="1" outlineLevel="1" thickBot="1" x14ac:dyDescent="0.4">
      <c r="B64" s="53"/>
      <c r="C64" s="29">
        <v>0.79166666666666663</v>
      </c>
      <c r="E64" s="7" t="str">
        <f>IF(F54&gt;H54,E54,I54)</f>
        <v>IR Iran</v>
      </c>
      <c r="F64" s="31"/>
      <c r="G64" s="25" t="s">
        <v>103</v>
      </c>
      <c r="H64" s="31"/>
      <c r="I64" s="7" t="str">
        <f>IF(F55&gt;H55,E55,I55)</f>
        <v>Denmark</v>
      </c>
    </row>
    <row r="65" spans="2:9" ht="22" customHeight="1" outlineLevel="1" thickBot="1" x14ac:dyDescent="0.4">
      <c r="B65" s="54" t="s">
        <v>139</v>
      </c>
      <c r="C65" s="29">
        <v>0.625</v>
      </c>
      <c r="E65" s="7" t="str">
        <f>IF(F60&gt;H60,E60,I60)</f>
        <v>Germany</v>
      </c>
      <c r="F65" s="31"/>
      <c r="G65" s="25" t="s">
        <v>103</v>
      </c>
      <c r="H65" s="31"/>
      <c r="I65" s="7" t="str">
        <f>IF(F61&gt;H61,E61,I61)</f>
        <v>Serbia</v>
      </c>
    </row>
    <row r="66" spans="2:9" ht="22" customHeight="1" outlineLevel="1" thickBot="1" x14ac:dyDescent="0.4">
      <c r="B66" s="54"/>
      <c r="C66" s="29">
        <v>0.79166666666666663</v>
      </c>
      <c r="E66" s="7" t="str">
        <f>IF(F57&gt;H57,E57,I57)</f>
        <v>Ecuador</v>
      </c>
      <c r="F66" s="32"/>
      <c r="G66" s="25" t="s">
        <v>103</v>
      </c>
      <c r="H66" s="32"/>
      <c r="I66" s="7" t="str">
        <f>IF(F56&gt;H56,E56,I56)</f>
        <v>Saudi Arabia</v>
      </c>
    </row>
    <row r="67" spans="2:9" ht="22" customHeight="1" thickTop="1" thickBot="1" x14ac:dyDescent="0.4">
      <c r="B67" s="55" t="s">
        <v>140</v>
      </c>
      <c r="C67" s="56"/>
      <c r="D67" s="56"/>
      <c r="E67" s="56"/>
      <c r="F67" s="56"/>
      <c r="G67" s="56"/>
      <c r="H67" s="56"/>
      <c r="I67" s="57"/>
    </row>
    <row r="68" spans="2:9" ht="22" customHeight="1" outlineLevel="1" thickTop="1" thickBot="1" x14ac:dyDescent="0.4">
      <c r="B68" s="22" t="s">
        <v>141</v>
      </c>
      <c r="C68" s="29">
        <v>0.79166666666666663</v>
      </c>
      <c r="E68" s="7" t="str">
        <f>IF(F64&gt;H64,E64,I64)</f>
        <v>Denmark</v>
      </c>
      <c r="F68" s="31"/>
      <c r="G68" s="25" t="s">
        <v>103</v>
      </c>
      <c r="H68" s="31"/>
      <c r="I68" s="7" t="str">
        <f>IF(F63&gt;H63,E63,I63)</f>
        <v>Ghana</v>
      </c>
    </row>
    <row r="69" spans="2:9" ht="22" customHeight="1" outlineLevel="1" thickBot="1" x14ac:dyDescent="0.4">
      <c r="B69" s="30" t="s">
        <v>142</v>
      </c>
      <c r="C69" s="29">
        <v>0.79166666666666663</v>
      </c>
      <c r="E69" s="7" t="str">
        <f>IF(F66&gt;H66,E66,I66)</f>
        <v>Saudi Arabia</v>
      </c>
      <c r="F69" s="32"/>
      <c r="G69" s="25" t="s">
        <v>103</v>
      </c>
      <c r="H69" s="32"/>
      <c r="I69" s="7" t="str">
        <f>IF(F65&gt;H65,E65,I65)</f>
        <v>Serbia</v>
      </c>
    </row>
    <row r="70" spans="2:9" ht="22" customHeight="1" thickTop="1" thickBot="1" x14ac:dyDescent="0.4">
      <c r="B70" s="55" t="s">
        <v>143</v>
      </c>
      <c r="C70" s="56"/>
      <c r="D70" s="56"/>
      <c r="E70" s="56"/>
      <c r="F70" s="56"/>
      <c r="G70" s="56"/>
      <c r="H70" s="56"/>
      <c r="I70" s="57"/>
    </row>
    <row r="71" spans="2:9" ht="22" customHeight="1" outlineLevel="1" thickTop="1" thickBot="1" x14ac:dyDescent="0.4">
      <c r="B71" s="22" t="s">
        <v>144</v>
      </c>
      <c r="C71" s="29">
        <v>0.625</v>
      </c>
      <c r="E71" s="7" t="str">
        <f>IF(F68&lt;H68,E68,I68)</f>
        <v>Ghana</v>
      </c>
      <c r="F71" s="32"/>
      <c r="G71" s="25" t="s">
        <v>103</v>
      </c>
      <c r="H71" s="32"/>
      <c r="I71" s="7" t="str">
        <f>IF(F69&lt;H69,E69,I69)</f>
        <v>Serbia</v>
      </c>
    </row>
    <row r="72" spans="2:9" ht="22" customHeight="1" thickTop="1" thickBot="1" x14ac:dyDescent="0.4">
      <c r="B72" s="55" t="s">
        <v>145</v>
      </c>
      <c r="C72" s="56"/>
      <c r="D72" s="56"/>
      <c r="E72" s="56"/>
      <c r="F72" s="56"/>
      <c r="G72" s="56"/>
      <c r="H72" s="56"/>
      <c r="I72" s="57"/>
    </row>
    <row r="73" spans="2:9" ht="22" customHeight="1" outlineLevel="1" thickTop="1" thickBot="1" x14ac:dyDescent="0.4">
      <c r="B73" s="30" t="s">
        <v>146</v>
      </c>
      <c r="C73" s="29">
        <v>0.625</v>
      </c>
      <c r="E73" s="7" t="str">
        <f>IF(F68&gt;H68,E68,I68)</f>
        <v>Ghana</v>
      </c>
      <c r="F73" s="31"/>
      <c r="G73" s="25" t="s">
        <v>103</v>
      </c>
      <c r="H73" s="31"/>
      <c r="I73" s="7" t="str">
        <f>IF(F69&gt;H69,E69,I69)</f>
        <v>Serbia</v>
      </c>
    </row>
    <row r="74" spans="2:9" ht="22" customHeight="1" x14ac:dyDescent="0.35"/>
  </sheetData>
  <mergeCells count="31">
    <mergeCell ref="B62:I62"/>
    <mergeCell ref="B67:I67"/>
    <mergeCell ref="B54:B55"/>
    <mergeCell ref="B56:B57"/>
    <mergeCell ref="B58:B59"/>
    <mergeCell ref="B60:B61"/>
    <mergeCell ref="B63:B64"/>
    <mergeCell ref="B65:B66"/>
    <mergeCell ref="M6:R6"/>
    <mergeCell ref="T6:Y6"/>
    <mergeCell ref="M13:R13"/>
    <mergeCell ref="T13:Y13"/>
    <mergeCell ref="B6:B8"/>
    <mergeCell ref="B9:B12"/>
    <mergeCell ref="B13:B16"/>
    <mergeCell ref="B70:I70"/>
    <mergeCell ref="B72:I72"/>
    <mergeCell ref="M20:R20"/>
    <mergeCell ref="T20:Y20"/>
    <mergeCell ref="M27:R27"/>
    <mergeCell ref="T27:Y27"/>
    <mergeCell ref="B17:B20"/>
    <mergeCell ref="B21:B24"/>
    <mergeCell ref="B25:B28"/>
    <mergeCell ref="B29:B32"/>
    <mergeCell ref="B33:B36"/>
    <mergeCell ref="B37:B40"/>
    <mergeCell ref="B41:B44"/>
    <mergeCell ref="B45:B48"/>
    <mergeCell ref="B49:B52"/>
    <mergeCell ref="B53:I53"/>
  </mergeCells>
  <conditionalFormatting sqref="E6:E52">
    <cfRule type="expression" dxfId="37" priority="36">
      <formula>F6&gt;H6</formula>
    </cfRule>
  </conditionalFormatting>
  <conditionalFormatting sqref="I6:I52">
    <cfRule type="expression" dxfId="36" priority="35">
      <formula>F6&lt;H6</formula>
    </cfRule>
  </conditionalFormatting>
  <conditionalFormatting sqref="M8">
    <cfRule type="expression" dxfId="35" priority="34">
      <formula>$M$8&lt;&gt;#REF!</formula>
    </cfRule>
  </conditionalFormatting>
  <conditionalFormatting sqref="M9">
    <cfRule type="expression" dxfId="34" priority="33">
      <formula>$M$9&lt;&gt;#REF!</formula>
    </cfRule>
  </conditionalFormatting>
  <conditionalFormatting sqref="M10">
    <cfRule type="expression" dxfId="33" priority="32">
      <formula>$M$10&lt;&gt;#REF!</formula>
    </cfRule>
  </conditionalFormatting>
  <conditionalFormatting sqref="M11">
    <cfRule type="expression" dxfId="32" priority="31">
      <formula>$M$11&lt;&gt;#REF!</formula>
    </cfRule>
  </conditionalFormatting>
  <conditionalFormatting sqref="M15">
    <cfRule type="expression" dxfId="31" priority="30">
      <formula>$M$15&lt;&gt;#REF!</formula>
    </cfRule>
  </conditionalFormatting>
  <conditionalFormatting sqref="M16">
    <cfRule type="expression" dxfId="30" priority="29">
      <formula>$M$16&lt;&gt;#REF!</formula>
    </cfRule>
  </conditionalFormatting>
  <conditionalFormatting sqref="M17">
    <cfRule type="expression" dxfId="29" priority="28">
      <formula>$M$17&lt;&gt;#REF!</formula>
    </cfRule>
  </conditionalFormatting>
  <conditionalFormatting sqref="M18">
    <cfRule type="expression" dxfId="28" priority="27">
      <formula>$M$18&lt;&gt;#REF!</formula>
    </cfRule>
  </conditionalFormatting>
  <conditionalFormatting sqref="M22">
    <cfRule type="expression" dxfId="27" priority="26">
      <formula>$M$22&lt;&gt;#REF!</formula>
    </cfRule>
  </conditionalFormatting>
  <conditionalFormatting sqref="M23">
    <cfRule type="expression" dxfId="26" priority="25">
      <formula>$M$23&lt;&gt;#REF!</formula>
    </cfRule>
  </conditionalFormatting>
  <conditionalFormatting sqref="M24">
    <cfRule type="expression" dxfId="25" priority="24">
      <formula>$M$24&lt;&gt;#REF!</formula>
    </cfRule>
  </conditionalFormatting>
  <conditionalFormatting sqref="M25">
    <cfRule type="expression" dxfId="24" priority="23">
      <formula>$M$25&lt;&gt;#REF!</formula>
    </cfRule>
  </conditionalFormatting>
  <conditionalFormatting sqref="M29">
    <cfRule type="expression" dxfId="23" priority="22">
      <formula>$M$29&lt;&gt;#REF!</formula>
    </cfRule>
  </conditionalFormatting>
  <conditionalFormatting sqref="M30">
    <cfRule type="expression" dxfId="22" priority="21">
      <formula>$M$30&lt;&gt;#REF!</formula>
    </cfRule>
  </conditionalFormatting>
  <conditionalFormatting sqref="M31">
    <cfRule type="expression" dxfId="21" priority="20">
      <formula>$M$31&lt;&gt;#REF!</formula>
    </cfRule>
  </conditionalFormatting>
  <conditionalFormatting sqref="M32">
    <cfRule type="expression" dxfId="20" priority="19">
      <formula>$M$32&lt;&gt;#REF!</formula>
    </cfRule>
  </conditionalFormatting>
  <conditionalFormatting sqref="T8">
    <cfRule type="expression" dxfId="19" priority="18">
      <formula>$T$8&lt;&gt;#REF!</formula>
    </cfRule>
  </conditionalFormatting>
  <conditionalFormatting sqref="T9">
    <cfRule type="expression" dxfId="18" priority="17">
      <formula>$T$9&lt;&gt;#REF!</formula>
    </cfRule>
  </conditionalFormatting>
  <conditionalFormatting sqref="T10">
    <cfRule type="expression" dxfId="17" priority="16">
      <formula>$T$10&lt;&gt;#REF!</formula>
    </cfRule>
  </conditionalFormatting>
  <conditionalFormatting sqref="T11">
    <cfRule type="expression" dxfId="16" priority="15">
      <formula>$T$11&lt;&gt;#REF!</formula>
    </cfRule>
  </conditionalFormatting>
  <conditionalFormatting sqref="T15">
    <cfRule type="expression" dxfId="15" priority="14">
      <formula>$T$15&lt;&gt;#REF!</formula>
    </cfRule>
  </conditionalFormatting>
  <conditionalFormatting sqref="T16">
    <cfRule type="expression" dxfId="14" priority="13">
      <formula>$T$16&lt;&gt;#REF!</formula>
    </cfRule>
  </conditionalFormatting>
  <conditionalFormatting sqref="T17">
    <cfRule type="expression" dxfId="13" priority="12">
      <formula>$T$17&lt;&gt;#REF!</formula>
    </cfRule>
  </conditionalFormatting>
  <conditionalFormatting sqref="T18">
    <cfRule type="expression" dxfId="12" priority="11">
      <formula>$T$18&lt;&gt;#REF!</formula>
    </cfRule>
  </conditionalFormatting>
  <conditionalFormatting sqref="T22">
    <cfRule type="expression" dxfId="11" priority="10">
      <formula>$T$22&lt;&gt;#REF!</formula>
    </cfRule>
  </conditionalFormatting>
  <conditionalFormatting sqref="T23">
    <cfRule type="expression" dxfId="10" priority="9">
      <formula>$T$23&lt;&gt;#REF!</formula>
    </cfRule>
  </conditionalFormatting>
  <conditionalFormatting sqref="T24">
    <cfRule type="expression" dxfId="9" priority="8">
      <formula>$T$24&lt;&gt;#REF!</formula>
    </cfRule>
  </conditionalFormatting>
  <conditionalFormatting sqref="T25">
    <cfRule type="expression" dxfId="8" priority="7">
      <formula>$T$25&lt;&gt;#REF!</formula>
    </cfRule>
  </conditionalFormatting>
  <conditionalFormatting sqref="T29">
    <cfRule type="expression" dxfId="7" priority="6">
      <formula>$T$29&lt;&gt;#REF!</formula>
    </cfRule>
  </conditionalFormatting>
  <conditionalFormatting sqref="T30">
    <cfRule type="expression" dxfId="6" priority="5">
      <formula>$T$30&lt;&gt;#REF!</formula>
    </cfRule>
  </conditionalFormatting>
  <conditionalFormatting sqref="T31">
    <cfRule type="expression" dxfId="5" priority="4">
      <formula>$T$31&lt;&gt;#REF!</formula>
    </cfRule>
  </conditionalFormatting>
  <conditionalFormatting sqref="T32">
    <cfRule type="expression" dxfId="4" priority="3">
      <formula>$T$32&lt;&gt;#REF!</formula>
    </cfRule>
  </conditionalFormatting>
  <conditionalFormatting sqref="E5">
    <cfRule type="expression" dxfId="3" priority="2">
      <formula>F5&gt;H5</formula>
    </cfRule>
  </conditionalFormatting>
  <conditionalFormatting sqref="I5">
    <cfRule type="expression" dxfId="2" priority="1">
      <formula>F5&lt;H5</formula>
    </cfRule>
  </conditionalFormatting>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group"/>
  <dimension ref="B2:BC27"/>
  <sheetViews>
    <sheetView showGridLines="0" zoomScale="80" zoomScaleNormal="80" workbookViewId="0">
      <selection activeCell="AV16" sqref="AV16"/>
    </sheetView>
  </sheetViews>
  <sheetFormatPr defaultRowHeight="14.5" outlineLevelCol="2" x14ac:dyDescent="0.35"/>
  <cols>
    <col min="1" max="1" width="3.1796875" customWidth="1"/>
    <col min="2" max="2" width="6.453125" bestFit="1" customWidth="1"/>
    <col min="3" max="3" width="3.1796875" bestFit="1" customWidth="1"/>
    <col min="4" max="4" width="11" bestFit="1" customWidth="1"/>
    <col min="8" max="8" width="6.1796875" bestFit="1" customWidth="1"/>
    <col min="10" max="10" width="2.1796875" customWidth="1"/>
    <col min="11" max="15" width="8.54296875" hidden="1" customWidth="1" outlineLevel="1"/>
    <col min="16" max="21" width="0" hidden="1" customWidth="1" outlineLevel="1"/>
    <col min="22" max="22" width="3.1796875" customWidth="1" collapsed="1"/>
    <col min="31" max="31" width="1.81640625" customWidth="1"/>
    <col min="32" max="42" width="0" hidden="1" customWidth="1" outlineLevel="2"/>
    <col min="43" max="43" width="2.7265625" customWidth="1" collapsed="1"/>
  </cols>
  <sheetData>
    <row r="2" spans="2:55" x14ac:dyDescent="0.35">
      <c r="B2" s="1" t="s">
        <v>7</v>
      </c>
      <c r="C2" s="1" t="s">
        <v>8</v>
      </c>
      <c r="D2" s="1" t="s">
        <v>9</v>
      </c>
      <c r="E2" s="1" t="s">
        <v>10</v>
      </c>
      <c r="F2" s="1" t="s">
        <v>11</v>
      </c>
      <c r="G2" s="1" t="s">
        <v>12</v>
      </c>
      <c r="H2" s="1" t="s">
        <v>13</v>
      </c>
      <c r="I2" s="1" t="s">
        <v>14</v>
      </c>
      <c r="J2" s="2"/>
      <c r="K2" s="44" t="s">
        <v>15</v>
      </c>
      <c r="L2" s="43" t="s">
        <v>16</v>
      </c>
      <c r="M2" s="43" t="s">
        <v>17</v>
      </c>
      <c r="N2" s="43" t="s">
        <v>18</v>
      </c>
      <c r="O2" s="43" t="s">
        <v>19</v>
      </c>
      <c r="P2" s="43" t="s">
        <v>20</v>
      </c>
      <c r="Q2" s="43" t="s">
        <v>21</v>
      </c>
      <c r="R2" s="43" t="s">
        <v>22</v>
      </c>
      <c r="S2" s="43" t="s">
        <v>23</v>
      </c>
      <c r="T2" s="43" t="s">
        <v>24</v>
      </c>
      <c r="U2" s="43" t="s">
        <v>25</v>
      </c>
      <c r="W2" s="1" t="s">
        <v>7</v>
      </c>
      <c r="X2" s="1" t="s">
        <v>26</v>
      </c>
      <c r="Y2" s="1" t="s">
        <v>9</v>
      </c>
      <c r="Z2" s="1" t="s">
        <v>10</v>
      </c>
      <c r="AA2" s="1" t="s">
        <v>11</v>
      </c>
      <c r="AB2" s="1" t="s">
        <v>12</v>
      </c>
      <c r="AC2" s="1" t="s">
        <v>13</v>
      </c>
      <c r="AD2" s="1" t="s">
        <v>14</v>
      </c>
      <c r="AE2" s="2"/>
      <c r="AF2" s="44" t="s">
        <v>15</v>
      </c>
      <c r="AG2" s="43" t="s">
        <v>16</v>
      </c>
      <c r="AH2" s="43" t="s">
        <v>17</v>
      </c>
      <c r="AI2" s="43" t="s">
        <v>18</v>
      </c>
      <c r="AJ2" s="43" t="s">
        <v>19</v>
      </c>
      <c r="AK2" s="43" t="s">
        <v>20</v>
      </c>
      <c r="AL2" s="43" t="s">
        <v>21</v>
      </c>
      <c r="AM2" s="43" t="s">
        <v>22</v>
      </c>
      <c r="AN2" s="43" t="s">
        <v>23</v>
      </c>
      <c r="AO2" s="43" t="s">
        <v>24</v>
      </c>
      <c r="AP2" s="43" t="s">
        <v>25</v>
      </c>
    </row>
    <row r="3" spans="2:55" x14ac:dyDescent="0.35">
      <c r="B3" s="3">
        <v>1</v>
      </c>
      <c r="C3" s="3" t="s">
        <v>27</v>
      </c>
      <c r="D3" s="3" t="s">
        <v>28</v>
      </c>
      <c r="E3" s="3">
        <f>ModèleScores!F5+ModèleScores!F22+ModèleScores!H38</f>
        <v>0</v>
      </c>
      <c r="F3" s="3">
        <f>ModèleScores!H5+ModèleScores!H22+ModèleScores!F38</f>
        <v>0</v>
      </c>
      <c r="G3" s="3">
        <f>E3-F3</f>
        <v>0</v>
      </c>
      <c r="H3" s="3">
        <f>IF(ModèleScores!F5="",0,1)+IF(ModèleScores!F22="",0,1)+IF(ModèleScores!H38="",0,1)</f>
        <v>0</v>
      </c>
      <c r="I3" s="3">
        <f>IF(ModèleScores!F5="",0,IF(ModèleScores!F5&gt;ModèleScores!H5,3,IF(ModèleScores!H5&gt;ModèleScores!F5,0,1)))+IF(ModèleScores!F22="",0,IF(ModèleScores!F22&gt;ModèleScores!H22,3,IF(ModèleScores!H22&gt;ModèleScores!F22,0,1)))+IF(ModèleScores!F38="",0,IF(ModèleScores!H38&gt;ModèleScores!F38,3,IF(ModèleScores!F38&gt;ModèleScores!H38,0,1)))</f>
        <v>0</v>
      </c>
      <c r="K3">
        <f>IF(ModèleScores!F5&gt;ModèleScores!H5,1,0)</f>
        <v>0</v>
      </c>
      <c r="L3">
        <f>IF(ModèleScores!F22&gt;ModèleScores!H22,1,0)</f>
        <v>0</v>
      </c>
      <c r="M3">
        <f>IF(ModèleScores!H38&gt;ModèleScores!F38,1,0)</f>
        <v>0</v>
      </c>
      <c r="Q3">
        <f>SUM(K3:L3,N3)</f>
        <v>0</v>
      </c>
      <c r="S3">
        <f>SUM(L3,M3,P3)</f>
        <v>0</v>
      </c>
      <c r="T3">
        <f>SUM(K3,M3,O3)</f>
        <v>0</v>
      </c>
      <c r="U3">
        <f>SUM(K3:P3)</f>
        <v>0</v>
      </c>
      <c r="W3" s="3">
        <v>1</v>
      </c>
      <c r="X3" s="3" t="s">
        <v>29</v>
      </c>
      <c r="Y3" s="3" t="s">
        <v>30</v>
      </c>
      <c r="Z3" s="3">
        <f>ModèleScores!F15+ModèleScores!F32+ModèleScores!H47</f>
        <v>0</v>
      </c>
      <c r="AA3" s="3">
        <f>ModèleScores!H15+ModèleScores!H32+ModèleScores!F47</f>
        <v>0</v>
      </c>
      <c r="AB3" s="3">
        <f>Z3-AA3</f>
        <v>0</v>
      </c>
      <c r="AC3" s="3">
        <f>IF(ModèleScores!F15="",0,1)+IF(ModèleScores!F32="",0,1)+IF(ModèleScores!H47="",0,1)</f>
        <v>0</v>
      </c>
      <c r="AD3" s="3">
        <f>IF(ModèleScores!F15="",0,IF(ModèleScores!F15&gt;ModèleScores!H15,3,IF(ModèleScores!H15&gt;ModèleScores!F15,0,1)))+IF(ModèleScores!F32="",0,IF(ModèleScores!F32&gt;ModèleScores!H32,3,IF(ModèleScores!H32&gt;ModèleScores!F32,0,1)))+IF(ModèleScores!H47="",0,IF(ModèleScores!F47&gt;ModèleScores!H47,3,IF(ModèleScores!H47&gt;ModèleScores!F47,0,1)))</f>
        <v>0</v>
      </c>
      <c r="AF3">
        <f>IF(ModèleScores!F32&gt;ModèleScores!H32,1,0)</f>
        <v>0</v>
      </c>
      <c r="AG3">
        <f>IF(ModèleScores!H47&gt;ModèleScores!F47,1,0)</f>
        <v>0</v>
      </c>
      <c r="AH3">
        <f>IF(ModèleScores!F15&gt;ModèleScores!H15,1,0)</f>
        <v>0</v>
      </c>
      <c r="AL3">
        <f>SUM(AF3:AG3,AI3)</f>
        <v>0</v>
      </c>
      <c r="AN3">
        <f>SUM(AG3,AH3,AK3)</f>
        <v>0</v>
      </c>
      <c r="AO3">
        <f>SUM(AF3,AH3,AJ3)</f>
        <v>0</v>
      </c>
      <c r="AP3">
        <f>SUM(AF3:AK3)</f>
        <v>0</v>
      </c>
    </row>
    <row r="4" spans="2:55" x14ac:dyDescent="0.35">
      <c r="B4" s="3">
        <v>2</v>
      </c>
      <c r="C4" s="3" t="s">
        <v>31</v>
      </c>
      <c r="D4" s="3" t="s">
        <v>32</v>
      </c>
      <c r="E4" s="3">
        <f>ModèleScores!H5+ModèleScores!H23+ModèleScores!F37</f>
        <v>0</v>
      </c>
      <c r="F4" s="3">
        <f>ModèleScores!F5+ModèleScores!F23+ModèleScores!H37</f>
        <v>0</v>
      </c>
      <c r="G4" s="3">
        <f>E4-F4</f>
        <v>0</v>
      </c>
      <c r="H4" s="3">
        <f>IF(ModèleScores!H5="",0,1)+IF(ModèleScores!H23="",0,1)+IF(ModèleScores!F37="",0,1)</f>
        <v>0</v>
      </c>
      <c r="I4" s="3">
        <f>IF(ModèleScores!H5="",0,IF(ModèleScores!H5&gt;ModèleScores!F5,3,IF(ModèleScores!F5&gt;ModèleScores!H5,0,1)))+IF(ModèleScores!H23="",0,IF(ModèleScores!H23&gt;ModèleScores!F23,3,IF(ModèleScores!F23&gt;ModèleScores!H23,0,1)))+IF(ModèleScores!F37="",0,IF(ModèleScores!F37&gt;ModèleScores!H37,3,IF(ModèleScores!H37&gt;ModèleScores!F37,0,1)))</f>
        <v>0</v>
      </c>
      <c r="K4">
        <f>IF(ModèleScores!H5&gt;ModèleScores!F5,1,0)</f>
        <v>0</v>
      </c>
      <c r="N4">
        <f>IF(ModèleScores!F37&gt;ModèleScores!H37,1,0)</f>
        <v>0</v>
      </c>
      <c r="O4">
        <f>IF(ModèleScores!H23&gt;ModèleScores!F23,1,0)</f>
        <v>0</v>
      </c>
      <c r="Q4">
        <f>SUM(K4:L4,N4)</f>
        <v>0</v>
      </c>
      <c r="R4">
        <f>SUM(N4:P4)</f>
        <v>0</v>
      </c>
      <c r="T4">
        <f>SUM(K4,M4,O4)</f>
        <v>0</v>
      </c>
      <c r="U4">
        <f>SUM(K4:P4)</f>
        <v>0</v>
      </c>
      <c r="W4" s="3">
        <v>2</v>
      </c>
      <c r="X4" s="3" t="s">
        <v>33</v>
      </c>
      <c r="Y4" s="3" t="s">
        <v>34</v>
      </c>
      <c r="Z4" s="3">
        <f>ModèleScores!F14+ModèleScores!H32+ModèleScores!H48</f>
        <v>0</v>
      </c>
      <c r="AA4" s="3">
        <f>ModèleScores!H14+ModèleScores!F32+ModèleScores!F48</f>
        <v>0</v>
      </c>
      <c r="AB4" s="3">
        <f>Z4-AA4</f>
        <v>0</v>
      </c>
      <c r="AC4" s="3">
        <f>IF(ModèleScores!F14="",0,1)+IF(ModèleScores!H32="",0,1)+IF(ModèleScores!H48="",0,1)</f>
        <v>0</v>
      </c>
      <c r="AD4" s="3">
        <f>IF(ModèleScores!F14="",0,IF(ModèleScores!F14&gt;ModèleScores!H14,3,IF(ModèleScores!H14&gt;ModèleScores!F14,0,1)))+IF(ModèleScores!H32="",0,IF(ModèleScores!H32&gt;ModèleScores!F32,3,IF(ModèleScores!F32&gt;ModèleScores!H32,0,1)))+IF(ModèleScores!F48="",0,IF(ModèleScores!H48&gt;ModèleScores!F48,3,IF(ModèleScores!F48&gt;ModèleScores!H48,0,1)))</f>
        <v>0</v>
      </c>
      <c r="AF4">
        <f>IF(ModèleScores!H32&gt;ModèleScores!F32,1,0)</f>
        <v>0</v>
      </c>
      <c r="AI4">
        <f>IF(ModèleScores!F14&gt;ModèleScores!H14,1,0)</f>
        <v>0</v>
      </c>
      <c r="AJ4">
        <f>IF(ModèleScores!H48&gt;ModèleScores!F48,1,0)</f>
        <v>0</v>
      </c>
      <c r="AL4">
        <f>SUM(AF4:AG4,AI4)</f>
        <v>0</v>
      </c>
      <c r="AM4">
        <f>SUM(AI4:AK4)</f>
        <v>0</v>
      </c>
      <c r="AO4">
        <f>SUM(AF4,AH4,AJ4)</f>
        <v>0</v>
      </c>
      <c r="AP4">
        <f>SUM(AF4:AK4)</f>
        <v>0</v>
      </c>
    </row>
    <row r="5" spans="2:55" x14ac:dyDescent="0.35">
      <c r="B5" s="3">
        <v>3</v>
      </c>
      <c r="C5" s="3" t="s">
        <v>35</v>
      </c>
      <c r="D5" s="3" t="s">
        <v>36</v>
      </c>
      <c r="E5" s="3">
        <f>ModèleScores!F7+ModèleScores!H22+ModèleScores!H37</f>
        <v>0</v>
      </c>
      <c r="F5" s="3">
        <f>ModèleScores!H7+ModèleScores!F22+ModèleScores!F37</f>
        <v>0</v>
      </c>
      <c r="G5" s="3">
        <f>E5-F5</f>
        <v>0</v>
      </c>
      <c r="H5" s="3">
        <f>IF(ModèleScores!F7="",0,1)+IF(ModèleScores!H22="",0,1)+IF(ModèleScores!H37="",0,1)</f>
        <v>0</v>
      </c>
      <c r="I5" s="3">
        <f>IF(ModèleScores!F7="",0,IF(ModèleScores!F7&gt;ModèleScores!H7,3,IF(ModèleScores!H7&gt;ModèleScores!F7,0,1)))+IF(ModèleScores!H22="",0,IF(ModèleScores!H22&gt;ModèleScores!F22,3,IF(ModèleScores!F22&gt;ModèleScores!H22,0,1)))+IF(ModèleScores!F37="",0,IF(ModèleScores!H37&gt;ModèleScores!F37,3,IF(ModèleScores!F37&gt;ModèleScores!H37,0,1)))</f>
        <v>0</v>
      </c>
      <c r="L5">
        <f>IF(ModèleScores!H22&gt;ModèleScores!F22,1,0)</f>
        <v>0</v>
      </c>
      <c r="N5">
        <f>IF(ModèleScores!H37&gt;ModèleScores!F37,1,0)</f>
        <v>0</v>
      </c>
      <c r="P5">
        <f>IF(ModèleScores!F7&gt;ModèleScores!H7,1,0)</f>
        <v>0</v>
      </c>
      <c r="Q5">
        <f>SUM(K5:L5,N5)</f>
        <v>0</v>
      </c>
      <c r="R5">
        <f>SUM(N5:P5)</f>
        <v>0</v>
      </c>
      <c r="S5">
        <f>SUM(L5,M5,P5)</f>
        <v>0</v>
      </c>
      <c r="U5">
        <f>SUM(K5:P5)</f>
        <v>0</v>
      </c>
      <c r="W5" s="3">
        <v>3</v>
      </c>
      <c r="X5" s="3" t="s">
        <v>37</v>
      </c>
      <c r="Y5" s="3" t="s">
        <v>38</v>
      </c>
      <c r="Z5" s="3">
        <f>ModèleScores!H14+ModèleScores!F29+ModèleScores!F47</f>
        <v>0</v>
      </c>
      <c r="AA5" s="3">
        <f>ModèleScores!F14+ModèleScores!H29+ModèleScores!H47</f>
        <v>0</v>
      </c>
      <c r="AB5" s="3">
        <f>Z5-AA5</f>
        <v>0</v>
      </c>
      <c r="AC5" s="3">
        <f>IF(ModèleScores!H14="",0,1)+IF(ModèleScores!F29="",0,1)+IF(ModèleScores!F47="",0,1)</f>
        <v>0</v>
      </c>
      <c r="AD5" s="3">
        <f>IF(ModèleScores!H14="",0,IF(ModèleScores!H14&gt;ModèleScores!F14,3,IF(ModèleScores!F14&gt;ModèleScores!H14,0,1)))+IF(ModèleScores!F29="",0,IF(ModèleScores!F29&gt;ModèleScores!H29,3,IF(ModèleScores!H29&gt;ModèleScores!F29,0,1)))+IF(ModèleScores!F47="",0,IF(ModèleScores!F47&gt;ModèleScores!H47,3,IF(ModèleScores!H47&gt;ModèleScores!F47,0,1)))</f>
        <v>0</v>
      </c>
      <c r="AG5">
        <f>IF(ModèleScores!F47&gt;ModèleScores!H47,1,0)</f>
        <v>0</v>
      </c>
      <c r="AI5">
        <f>IF(ModèleScores!H14&gt;ModèleScores!F14,1,0)</f>
        <v>0</v>
      </c>
      <c r="AK5">
        <f>IF(ModèleScores!F29&gt;ModèleScores!H29,1,0)</f>
        <v>0</v>
      </c>
      <c r="AL5">
        <f>SUM(AF5:AG5,AI5)</f>
        <v>0</v>
      </c>
      <c r="AM5">
        <f>SUM(AI5:AK5)</f>
        <v>0</v>
      </c>
      <c r="AN5">
        <f>SUM(AG5,AH5,AK5)</f>
        <v>0</v>
      </c>
      <c r="AP5">
        <f>SUM(AF5:AK5)</f>
        <v>0</v>
      </c>
      <c r="AR5" s="2"/>
      <c r="AS5" s="44"/>
      <c r="AT5" s="43"/>
      <c r="AU5" s="43"/>
      <c r="AV5" s="43"/>
      <c r="AW5" s="43"/>
      <c r="AX5" s="43"/>
      <c r="AY5" s="43"/>
      <c r="AZ5" s="43"/>
      <c r="BA5" s="43"/>
      <c r="BB5" s="43"/>
      <c r="BC5" s="43"/>
    </row>
    <row r="6" spans="2:55" x14ac:dyDescent="0.35">
      <c r="B6" s="3">
        <v>4</v>
      </c>
      <c r="C6" s="3" t="s">
        <v>39</v>
      </c>
      <c r="D6" s="3" t="s">
        <v>40</v>
      </c>
      <c r="E6" s="3">
        <f>ModèleScores!H7+ModèleScores!F23+ModèleScores!F38</f>
        <v>0</v>
      </c>
      <c r="F6" s="3">
        <f>ModèleScores!F7+ModèleScores!H23+ModèleScores!H38</f>
        <v>0</v>
      </c>
      <c r="G6" s="3">
        <f>E6-F6</f>
        <v>0</v>
      </c>
      <c r="H6" s="3">
        <f>IF(ModèleScores!H7="",0,1)+IF(ModèleScores!F23="",0,1)+IF(ModèleScores!F38="",0,1)</f>
        <v>0</v>
      </c>
      <c r="I6" s="3">
        <f>IF(ModèleScores!H7="",0,IF(ModèleScores!H7&gt;ModèleScores!F7,3,IF(ModèleScores!F7&gt;ModèleScores!H7,0,1)))+IF(ModèleScores!F23="",0,IF(ModèleScores!F23&gt;ModèleScores!H23,3,IF(ModèleScores!H23&gt;ModèleScores!F23,0,1)))+IF(ModèleScores!F38="",0,IF(ModèleScores!F38&gt;ModèleScores!H38,3,IF(ModèleScores!H38&gt;ModèleScores!F38,0,1)))</f>
        <v>0</v>
      </c>
      <c r="M6">
        <f>IF(ModèleScores!F38&gt;ModèleScores!H38,1,0)</f>
        <v>0</v>
      </c>
      <c r="O6">
        <f>IF(ModèleScores!F23&gt;ModèleScores!H23,1,0)</f>
        <v>0</v>
      </c>
      <c r="P6">
        <f>IF(ModèleScores!H7&gt;ModèleScores!F7,1,0)</f>
        <v>0</v>
      </c>
      <c r="R6">
        <f>SUM(N6:P6)</f>
        <v>0</v>
      </c>
      <c r="S6">
        <f>SUM(L6,M6,P6)</f>
        <v>0</v>
      </c>
      <c r="T6">
        <f>SUM(K6,M6,O6)</f>
        <v>0</v>
      </c>
      <c r="U6">
        <f>SUM(K6:P6)</f>
        <v>0</v>
      </c>
      <c r="W6" s="3">
        <v>4</v>
      </c>
      <c r="X6" s="3" t="s">
        <v>41</v>
      </c>
      <c r="Y6" s="3" t="s">
        <v>42</v>
      </c>
      <c r="Z6" s="3">
        <f>ModèleScores!H15+ModèleScores!H29+ModèleScores!F48</f>
        <v>0</v>
      </c>
      <c r="AA6" s="3">
        <f>ModèleScores!F15+ModèleScores!F29+ModèleScores!H48</f>
        <v>0</v>
      </c>
      <c r="AB6" s="3">
        <f>Z6-AA6</f>
        <v>0</v>
      </c>
      <c r="AC6" s="3">
        <f>IF(ModèleScores!H15="",0,1)+IF(ModèleScores!H29="",0,1)+IF(ModèleScores!F48="",0,1)</f>
        <v>0</v>
      </c>
      <c r="AD6" s="3">
        <f>IF(ModèleScores!H15="",0,IF(ModèleScores!H15&gt;ModèleScores!F15,3,IF(ModèleScores!F15&gt;ModèleScores!H15,0,1)))+IF(ModèleScores!H29="",0,IF(ModèleScores!H29&gt;ModèleScores!F29,3,IF(ModèleScores!F29&gt;ModèleScores!H29,0,1)))+IF(ModèleScores!F48="",0,IF(ModèleScores!F48&gt;ModèleScores!H48,3,IF(ModèleScores!H48&gt;ModèleScores!F48,0,1)))</f>
        <v>0</v>
      </c>
      <c r="AH6">
        <f>IF(ModèleScores!H15&gt;ModèleScores!F15,1,0)</f>
        <v>0</v>
      </c>
      <c r="AJ6">
        <f>IF(ModèleScores!F48&gt;ModèleScores!H48,1,0)</f>
        <v>0</v>
      </c>
      <c r="AK6">
        <f>IF(ModèleScores!H29&gt;ModèleScores!F29,1,0)</f>
        <v>0</v>
      </c>
      <c r="AM6">
        <f>SUM(AI6:AK6)</f>
        <v>0</v>
      </c>
      <c r="AN6">
        <f>SUM(AG6,AH6,AK6)</f>
        <v>0</v>
      </c>
      <c r="AO6">
        <f>SUM(AF6,AH6,AJ6)</f>
        <v>0</v>
      </c>
      <c r="AP6">
        <f>SUM(AF6:AK6)</f>
        <v>0</v>
      </c>
    </row>
    <row r="9" spans="2:55" x14ac:dyDescent="0.35">
      <c r="B9" s="1" t="s">
        <v>7</v>
      </c>
      <c r="C9" s="1" t="s">
        <v>43</v>
      </c>
      <c r="D9" s="1" t="s">
        <v>9</v>
      </c>
      <c r="E9" s="1" t="s">
        <v>10</v>
      </c>
      <c r="F9" s="1" t="s">
        <v>11</v>
      </c>
      <c r="G9" s="1" t="s">
        <v>12</v>
      </c>
      <c r="H9" s="1" t="s">
        <v>13</v>
      </c>
      <c r="I9" s="1" t="s">
        <v>14</v>
      </c>
      <c r="K9" s="6" t="s">
        <v>15</v>
      </c>
      <c r="L9" s="6" t="s">
        <v>16</v>
      </c>
      <c r="M9" s="6" t="s">
        <v>17</v>
      </c>
      <c r="N9" s="6" t="s">
        <v>18</v>
      </c>
      <c r="O9" s="6" t="s">
        <v>19</v>
      </c>
      <c r="P9" s="6" t="s">
        <v>20</v>
      </c>
      <c r="Q9" s="6" t="s">
        <v>21</v>
      </c>
      <c r="R9" s="6" t="s">
        <v>22</v>
      </c>
      <c r="S9" s="6" t="s">
        <v>23</v>
      </c>
      <c r="T9" s="6" t="s">
        <v>24</v>
      </c>
      <c r="U9" s="6" t="s">
        <v>25</v>
      </c>
      <c r="W9" s="1" t="s">
        <v>7</v>
      </c>
      <c r="X9" s="1" t="s">
        <v>44</v>
      </c>
      <c r="Y9" s="1" t="s">
        <v>9</v>
      </c>
      <c r="Z9" s="1" t="s">
        <v>10</v>
      </c>
      <c r="AA9" s="1" t="s">
        <v>11</v>
      </c>
      <c r="AB9" s="1" t="s">
        <v>12</v>
      </c>
      <c r="AC9" s="1" t="s">
        <v>13</v>
      </c>
      <c r="AD9" s="1" t="s">
        <v>14</v>
      </c>
      <c r="AE9" s="2"/>
      <c r="AF9" s="44" t="s">
        <v>15</v>
      </c>
      <c r="AG9" s="43" t="s">
        <v>16</v>
      </c>
      <c r="AH9" s="43" t="s">
        <v>17</v>
      </c>
      <c r="AI9" s="43" t="s">
        <v>18</v>
      </c>
      <c r="AJ9" s="43" t="s">
        <v>19</v>
      </c>
      <c r="AK9" s="43" t="s">
        <v>20</v>
      </c>
      <c r="AL9" s="43" t="s">
        <v>21</v>
      </c>
      <c r="AM9" s="43" t="s">
        <v>22</v>
      </c>
      <c r="AN9" s="43" t="s">
        <v>23</v>
      </c>
      <c r="AO9" s="43" t="s">
        <v>24</v>
      </c>
      <c r="AP9" s="43" t="s">
        <v>25</v>
      </c>
    </row>
    <row r="10" spans="2:55" x14ac:dyDescent="0.35">
      <c r="B10" s="3">
        <v>1</v>
      </c>
      <c r="C10" s="3" t="s">
        <v>45</v>
      </c>
      <c r="D10" s="3" t="s">
        <v>46</v>
      </c>
      <c r="E10" s="3">
        <f>ModèleScores!F6+ModèleScores!F24+ModèleScores!H39</f>
        <v>0</v>
      </c>
      <c r="F10" s="3">
        <f>ModèleScores!H6+ModèleScores!H24+ModèleScores!F39</f>
        <v>0</v>
      </c>
      <c r="G10" s="3">
        <f>E10-F10</f>
        <v>0</v>
      </c>
      <c r="H10" s="3">
        <f>IF(ModèleScores!F6="",0,1)+IF(ModèleScores!F24="",0,1)+IF(ModèleScores!H39="",0,1)</f>
        <v>0</v>
      </c>
      <c r="I10" s="3">
        <f>IF(ModèleScores!F6="",0,IF(ModèleScores!F6&gt;ModèleScores!H6,3,IF(ModèleScores!H6&gt;ModèleScores!F6,0,1)))+IF(ModèleScores!F24="",0,IF(ModèleScores!F24&gt;ModèleScores!H24,3,IF(ModèleScores!H24&gt;ModèleScores!F24,0,1)))+IF(ModèleScores!F39="",0,IF(ModèleScores!H39&gt;ModèleScores!F39,3,IF(ModèleScores!F39&gt;ModèleScores!H39,0,1)))</f>
        <v>0</v>
      </c>
      <c r="K10">
        <f>IF(ModèleScores!F6&gt;ModèleScores!H6,1,0)</f>
        <v>0</v>
      </c>
      <c r="L10">
        <f>IF(ModèleScores!F24&gt;ModèleScores!H24,1,0)</f>
        <v>0</v>
      </c>
      <c r="M10">
        <f>IF(ModèleScores!H39&gt;ModèleScores!F39,1,0)</f>
        <v>0</v>
      </c>
      <c r="Q10">
        <f>SUM(K10:L10,N10)</f>
        <v>0</v>
      </c>
      <c r="S10">
        <f>SUM(L10,M10,P10)</f>
        <v>0</v>
      </c>
      <c r="T10">
        <f>SUM(K10,M10,O10)</f>
        <v>0</v>
      </c>
      <c r="U10">
        <f>SUM(K10:P10)</f>
        <v>0</v>
      </c>
      <c r="W10" s="3">
        <v>1</v>
      </c>
      <c r="X10" s="3" t="s">
        <v>47</v>
      </c>
      <c r="Y10" s="3" t="s">
        <v>48</v>
      </c>
      <c r="Z10" s="3">
        <f>ModèleScores!F16+ModèleScores!F30+ModèleScores!H45</f>
        <v>0</v>
      </c>
      <c r="AA10" s="3">
        <f>ModèleScores!H16+ModèleScores!H30+ModèleScores!F45</f>
        <v>0</v>
      </c>
      <c r="AB10" s="3">
        <f>Z10-AA10</f>
        <v>0</v>
      </c>
      <c r="AC10" s="3">
        <f>IF(ModèleScores!F16="",0,1)+IF(ModèleScores!F30="",0,1)+IF(ModèleScores!H45="",0,1)</f>
        <v>0</v>
      </c>
      <c r="AD10" s="3">
        <f>IF(ModèleScores!F16="",0,IF(ModèleScores!F16&gt;ModèleScores!H16,3,IF(ModèleScores!H16&gt;ModèleScores!F16,0,1)))+IF(ModèleScores!F30="",0,IF(ModèleScores!F30&gt;ModèleScores!H30,3,IF(ModèleScores!H30&gt;ModèleScores!F30,0,1)))+IF(ModèleScores!F45="",0,IF(ModèleScores!H45&gt;ModèleScores!F45,3,IF(ModèleScores!F45&gt;ModèleScores!H45,0,1)))</f>
        <v>0</v>
      </c>
      <c r="AF10">
        <f>IF(ModèleScores!F16&gt;ModèleScores!H16,1,0)</f>
        <v>0</v>
      </c>
      <c r="AG10">
        <f>IF(ModèleScores!F30&gt;ModèleScores!H30,1,0)</f>
        <v>0</v>
      </c>
      <c r="AH10">
        <f>IF(ModèleScores!H45&gt;ModèleScores!F45,1,0)</f>
        <v>0</v>
      </c>
      <c r="AL10">
        <f>SUM(AF10:AG10,AI10)</f>
        <v>0</v>
      </c>
      <c r="AN10">
        <f>SUM(AG10,AH10,AK10)</f>
        <v>0</v>
      </c>
      <c r="AO10">
        <f>SUM(AF10,AH10,AJ10)</f>
        <v>0</v>
      </c>
      <c r="AP10">
        <f>SUM(AF10:AK10)</f>
        <v>0</v>
      </c>
    </row>
    <row r="11" spans="2:55" x14ac:dyDescent="0.35">
      <c r="B11" s="3">
        <v>2</v>
      </c>
      <c r="C11" s="3" t="s">
        <v>49</v>
      </c>
      <c r="D11" s="3" t="s">
        <v>50</v>
      </c>
      <c r="E11" s="3">
        <f>ModèleScores!H6+ModèleScores!H21+ModèleScores!F40</f>
        <v>0</v>
      </c>
      <c r="F11" s="3">
        <f>ModèleScores!F6+ModèleScores!F21+ModèleScores!H40</f>
        <v>0</v>
      </c>
      <c r="G11" s="3">
        <f>E11-F11</f>
        <v>0</v>
      </c>
      <c r="H11" s="3">
        <f>IF(ModèleScores!F6="",0,1)+IF(ModèleScores!H21="",0,1)+IF(ModèleScores!H40="",0,1)</f>
        <v>0</v>
      </c>
      <c r="I11" s="3">
        <f>IF(ModèleScores!H6="",0,IF(ModèleScores!H6&gt;ModèleScores!F6,3,IF(ModèleScores!F6&gt;ModèleScores!H6,0,1)))+IF(ModèleScores!H21="",0,IF(ModèleScores!H21&gt;ModèleScores!F21,3,IF(ModèleScores!F21&gt;ModèleScores!H21,0,1)))+IF(ModèleScores!F40="",0,IF(ModèleScores!F40&gt;ModèleScores!H40,3,IF(ModèleScores!H40&gt;ModèleScores!F40,0,1)))</f>
        <v>0</v>
      </c>
      <c r="K11">
        <f>IF(ModèleScores!H6&gt;ModèleScores!F6,1,0)</f>
        <v>0</v>
      </c>
      <c r="N11">
        <f>IF(ModèleScores!F40&gt;ModèleScores!H40,1,0)</f>
        <v>0</v>
      </c>
      <c r="O11">
        <f>IF(ModèleScores!H21&gt;ModèleScores!F21,1,0)</f>
        <v>0</v>
      </c>
      <c r="Q11">
        <f>SUM(K11:L11,N11)</f>
        <v>0</v>
      </c>
      <c r="R11">
        <f>SUM(N11:P11)</f>
        <v>0</v>
      </c>
      <c r="T11">
        <f>SUM(K11,M11,O11)</f>
        <v>0</v>
      </c>
      <c r="U11">
        <f>SUM(K11:P11)</f>
        <v>0</v>
      </c>
      <c r="W11" s="3">
        <v>2</v>
      </c>
      <c r="X11" s="3" t="s">
        <v>51</v>
      </c>
      <c r="Y11" s="3" t="s">
        <v>52</v>
      </c>
      <c r="Z11" s="3">
        <f>ModèleScores!H16+ModèleScores!H31+ModèleScores!F46</f>
        <v>0</v>
      </c>
      <c r="AA11" s="3">
        <f>ModèleScores!F16+ModèleScores!F31+ModèleScores!H46</f>
        <v>0</v>
      </c>
      <c r="AB11" s="3">
        <f>Z11-AA11</f>
        <v>0</v>
      </c>
      <c r="AC11" s="3">
        <f>IF(ModèleScores!H16="",0,1)+IF(ModèleScores!H31="",0,1)+IF(ModèleScores!F46="",0,1)</f>
        <v>0</v>
      </c>
      <c r="AD11" s="3">
        <f>IF(ModèleScores!H16="",0,IF(ModèleScores!H16&gt;ModèleScores!F16,3,IF(ModèleScores!F16&gt;ModèleScores!H16,0,1)))+IF(ModèleScores!H31="",0,IF(ModèleScores!H31&gt;ModèleScores!F31,3,IF(ModèleScores!F31&gt;ModèleScores!H31,0,1)))+IF(ModèleScores!F46="",0,IF(ModèleScores!F46&gt;ModèleScores!H46,3,IF(ModèleScores!H46&gt;ModèleScores!F46,0,1)))</f>
        <v>0</v>
      </c>
      <c r="AF11">
        <f>IF(ModèleScores!H16&gt;ModèleScores!F16,1,0)</f>
        <v>0</v>
      </c>
      <c r="AI11">
        <f>IF(ModèleScores!F46&gt;ModèleScores!H46,1,0)</f>
        <v>0</v>
      </c>
      <c r="AJ11">
        <f>IF(ModèleScores!H31&gt;ModèleScores!F31,1,0)</f>
        <v>0</v>
      </c>
      <c r="AL11">
        <f>SUM(AF11:AG11,AI11)</f>
        <v>0</v>
      </c>
      <c r="AM11">
        <f>SUM(AI11:AK11)</f>
        <v>0</v>
      </c>
      <c r="AO11">
        <f>SUM(AF11,AH11,AJ11)</f>
        <v>0</v>
      </c>
      <c r="AP11">
        <f>SUM(AF11:AK11)</f>
        <v>0</v>
      </c>
    </row>
    <row r="12" spans="2:55" x14ac:dyDescent="0.35">
      <c r="B12" s="3">
        <v>3</v>
      </c>
      <c r="C12" s="3" t="s">
        <v>53</v>
      </c>
      <c r="D12" s="3" t="s">
        <v>54</v>
      </c>
      <c r="E12" s="3">
        <f>ModèleScores!F8+ModèleScores!H24+ModèleScores!H40</f>
        <v>0</v>
      </c>
      <c r="F12" s="3">
        <f>ModèleScores!H8+ModèleScores!F24+ModèleScores!F40</f>
        <v>0</v>
      </c>
      <c r="G12" s="3">
        <f>E12-F12</f>
        <v>0</v>
      </c>
      <c r="H12" s="3">
        <f>IF(ModèleScores!F8="",0,1)+IF(ModèleScores!H24="",0,1)+IF(ModèleScores!H40="",0,1)</f>
        <v>0</v>
      </c>
      <c r="I12" s="3">
        <f>IF(ModèleScores!F8="",0,IF(ModèleScores!F8&gt;ModèleScores!H8,3,IF(ModèleScores!H8&gt;ModèleScores!F8,0,1)))+IF(ModèleScores!H24="",0,IF(ModèleScores!H24&gt;ModèleScores!F24,3,IF(ModèleScores!F24&gt;ModèleScores!H24,0,1)))+IF(ModèleScores!F40="",0,IF(ModèleScores!H40&gt;ModèleScores!F40,3,IF(ModèleScores!F40&gt;ModèleScores!H40,0,1)))</f>
        <v>0</v>
      </c>
      <c r="L12">
        <f>IF(ModèleScores!H24&gt;ModèleScores!F24,1,0)</f>
        <v>0</v>
      </c>
      <c r="N12">
        <f>IF(ModèleScores!H40&gt;ModèleScores!F40,1,0)</f>
        <v>0</v>
      </c>
      <c r="P12">
        <f>IF(ModèleScores!F8&gt;ModèleScores!H8,1,0)</f>
        <v>0</v>
      </c>
      <c r="Q12">
        <f>SUM(K12:L12,N12)</f>
        <v>0</v>
      </c>
      <c r="R12">
        <f>SUM(N12:P12)</f>
        <v>0</v>
      </c>
      <c r="S12">
        <f>SUM(L12,M12,P12)</f>
        <v>0</v>
      </c>
      <c r="U12">
        <f>SUM(K12:P12)</f>
        <v>0</v>
      </c>
      <c r="W12" s="3">
        <v>3</v>
      </c>
      <c r="X12" s="3" t="s">
        <v>55</v>
      </c>
      <c r="Y12" s="3" t="s">
        <v>56</v>
      </c>
      <c r="Z12" s="3">
        <f>ModèleScores!F13+ModèleScores!H30+ModèleScores!H46</f>
        <v>0</v>
      </c>
      <c r="AA12" s="3">
        <f>ModèleScores!H13+ModèleScores!F30+ModèleScores!F46</f>
        <v>0</v>
      </c>
      <c r="AB12" s="3">
        <f>Z12-AA12</f>
        <v>0</v>
      </c>
      <c r="AC12" s="3">
        <f>IF(ModèleScores!F13="",0,1)+IF(ModèleScores!H30="",0,1)+IF(ModèleScores!H46="",0,1)</f>
        <v>0</v>
      </c>
      <c r="AD12" s="3">
        <f>IF(ModèleScores!F13="",0,IF(ModèleScores!F13&gt;ModèleScores!H13,3,IF(ModèleScores!H13&gt;ModèleScores!F13,0,1)))+IF(ModèleScores!H30="",0,IF(ModèleScores!H30&gt;ModèleScores!F30,3,IF(ModèleScores!F30&gt;ModèleScores!H30,0,1)))+IF(ModèleScores!F46="",0,IF(ModèleScores!H46&gt;ModèleScores!F46,3,IF(ModèleScores!F46&gt;ModèleScores!H46,0,1)))</f>
        <v>0</v>
      </c>
      <c r="AG12">
        <f>IF(ModèleScores!H30&gt;ModèleScores!F30,1,0)</f>
        <v>0</v>
      </c>
      <c r="AI12">
        <f>IF(ModèleScores!H46&gt;ModèleScores!F46,1,0)</f>
        <v>0</v>
      </c>
      <c r="AK12">
        <f>IF(ModèleScores!F13&gt;ModèleScores!H13,1,0)</f>
        <v>0</v>
      </c>
      <c r="AL12">
        <f>SUM(AF12:AG12,AI12)</f>
        <v>0</v>
      </c>
      <c r="AM12">
        <f>SUM(AI12:AK12)</f>
        <v>0</v>
      </c>
      <c r="AN12">
        <f>SUM(AG12,AH12,AK12)</f>
        <v>0</v>
      </c>
      <c r="AP12">
        <f>SUM(AF12:AK12)</f>
        <v>0</v>
      </c>
    </row>
    <row r="13" spans="2:55" x14ac:dyDescent="0.35">
      <c r="B13" s="3">
        <v>4</v>
      </c>
      <c r="C13" s="3" t="s">
        <v>57</v>
      </c>
      <c r="D13" s="3" t="s">
        <v>58</v>
      </c>
      <c r="E13" s="3">
        <f>ModèleScores!H8+ModèleScores!F21+ModèleScores!F39</f>
        <v>0</v>
      </c>
      <c r="F13" s="3">
        <f>ModèleScores!F8+ModèleScores!H21+ModèleScores!H39</f>
        <v>0</v>
      </c>
      <c r="G13" s="3">
        <f>E13-F13</f>
        <v>0</v>
      </c>
      <c r="H13" s="3">
        <f>IF(ModèleScores!H8="",0,1)+IF(ModèleScores!F21="",0,1)+IF(ModèleScores!F39="",0,1)</f>
        <v>0</v>
      </c>
      <c r="I13" s="3">
        <f>IF(ModèleScores!H8="",0,IF(ModèleScores!H8&gt;ModèleScores!F8,3,IF(ModèleScores!F8&gt;ModèleScores!H8,0,1)))+IF(ModèleScores!F21="",0,IF(ModèleScores!F21&gt;ModèleScores!H21,3,IF(ModèleScores!H21&gt;ModèleScores!F21,0,1)))+IF(ModèleScores!F39="",0,IF(ModèleScores!F39&gt;ModèleScores!H39,3,IF(ModèleScores!H39&gt;ModèleScores!F39,0,1)))</f>
        <v>0</v>
      </c>
      <c r="M13">
        <f>IF(ModèleScores!F39&gt;ModèleScores!H39,1,0)</f>
        <v>0</v>
      </c>
      <c r="O13">
        <f>IF(ModèleScores!F21&gt;ModèleScores!H21,1,0)</f>
        <v>0</v>
      </c>
      <c r="P13">
        <f>IF(ModèleScores!H8&gt;ModèleScores!F8,1,0)</f>
        <v>0</v>
      </c>
      <c r="R13">
        <f>SUM(N13:P13)</f>
        <v>0</v>
      </c>
      <c r="S13">
        <f>SUM(L13,M13,P13)</f>
        <v>0</v>
      </c>
      <c r="T13">
        <f>SUM(K13,M13,O13)</f>
        <v>0</v>
      </c>
      <c r="U13">
        <f>SUM(K13:P13)</f>
        <v>0</v>
      </c>
      <c r="W13" s="3">
        <v>4</v>
      </c>
      <c r="X13" s="3" t="s">
        <v>59</v>
      </c>
      <c r="Y13" s="3" t="s">
        <v>60</v>
      </c>
      <c r="Z13" s="3">
        <f>ModèleScores!H13+ModèleScores!F31+ModèleScores!F45</f>
        <v>0</v>
      </c>
      <c r="AA13" s="3">
        <f>ModèleScores!F13+ModèleScores!H31+ModèleScores!H45</f>
        <v>0</v>
      </c>
      <c r="AB13" s="3">
        <f>Z13-AA13</f>
        <v>0</v>
      </c>
      <c r="AC13" s="3">
        <f>IF(ModèleScores!H13="",0,1)+IF(ModèleScores!F31="",0,1)+IF(ModèleScores!F45="",0,1)</f>
        <v>0</v>
      </c>
      <c r="AD13" s="3">
        <f>IF(ModèleScores!H13="",0,IF(ModèleScores!H13&gt;ModèleScores!F13,3,IF(ModèleScores!F13&gt;ModèleScores!H13,0,1)))+IF(ModèleScores!F31="",0,IF(ModèleScores!F31&gt;ModèleScores!H31,3,IF(ModèleScores!H31&gt;ModèleScores!F31,0,1)))+IF(ModèleScores!F45="",0,IF(ModèleScores!F45&gt;ModèleScores!H45,3,IF(ModèleScores!H45&gt;ModèleScores!F45,0,1)))</f>
        <v>0</v>
      </c>
      <c r="AH13">
        <f>IF(ModèleScores!F45&gt;ModèleScores!H45,1,0)</f>
        <v>0</v>
      </c>
      <c r="AJ13">
        <f>IF(ModèleScores!F31&gt;ModèleScores!H31,1,0)</f>
        <v>0</v>
      </c>
      <c r="AK13">
        <f>IF(ModèleScores!H13&gt;ModèleScores!F13,1,0)</f>
        <v>0</v>
      </c>
      <c r="AM13">
        <f>SUM(AI13:AK13)</f>
        <v>0</v>
      </c>
      <c r="AN13">
        <f>SUM(AG13,AH13,AK13)</f>
        <v>0</v>
      </c>
      <c r="AO13">
        <f>SUM(AF13,AH13,AJ13)</f>
        <v>0</v>
      </c>
      <c r="AP13">
        <f>SUM(AF13:AK13)</f>
        <v>0</v>
      </c>
    </row>
    <row r="16" spans="2:55" x14ac:dyDescent="0.35">
      <c r="B16" s="1" t="s">
        <v>61</v>
      </c>
      <c r="C16" s="1" t="s">
        <v>62</v>
      </c>
      <c r="D16" s="1" t="s">
        <v>9</v>
      </c>
      <c r="E16" s="1" t="s">
        <v>10</v>
      </c>
      <c r="F16" s="1" t="s">
        <v>11</v>
      </c>
      <c r="G16" s="1" t="s">
        <v>12</v>
      </c>
      <c r="H16" s="1" t="s">
        <v>13</v>
      </c>
      <c r="I16" s="1" t="s">
        <v>14</v>
      </c>
      <c r="K16" s="6" t="s">
        <v>15</v>
      </c>
      <c r="L16" s="6" t="s">
        <v>16</v>
      </c>
      <c r="M16" s="6" t="s">
        <v>17</v>
      </c>
      <c r="N16" s="6" t="s">
        <v>18</v>
      </c>
      <c r="O16" s="6" t="s">
        <v>19</v>
      </c>
      <c r="P16" s="6" t="s">
        <v>20</v>
      </c>
      <c r="Q16" s="6" t="s">
        <v>21</v>
      </c>
      <c r="R16" s="6" t="s">
        <v>22</v>
      </c>
      <c r="S16" s="6" t="s">
        <v>23</v>
      </c>
      <c r="T16" s="6" t="s">
        <v>24</v>
      </c>
      <c r="U16" s="6" t="s">
        <v>25</v>
      </c>
      <c r="W16" s="1" t="s">
        <v>61</v>
      </c>
      <c r="X16" s="1" t="s">
        <v>63</v>
      </c>
      <c r="Y16" s="1" t="s">
        <v>9</v>
      </c>
      <c r="Z16" s="1" t="s">
        <v>10</v>
      </c>
      <c r="AA16" s="1" t="s">
        <v>11</v>
      </c>
      <c r="AB16" s="1" t="s">
        <v>12</v>
      </c>
      <c r="AC16" s="1" t="s">
        <v>13</v>
      </c>
      <c r="AD16" s="1" t="s">
        <v>14</v>
      </c>
      <c r="AE16" s="2"/>
      <c r="AF16" s="44" t="s">
        <v>15</v>
      </c>
      <c r="AG16" s="43" t="s">
        <v>16</v>
      </c>
      <c r="AH16" s="43" t="s">
        <v>17</v>
      </c>
      <c r="AI16" s="43" t="s">
        <v>18</v>
      </c>
      <c r="AJ16" s="43" t="s">
        <v>19</v>
      </c>
      <c r="AK16" s="43" t="s">
        <v>20</v>
      </c>
      <c r="AL16" s="43" t="s">
        <v>21</v>
      </c>
      <c r="AM16" s="43" t="s">
        <v>22</v>
      </c>
      <c r="AN16" s="43" t="s">
        <v>23</v>
      </c>
      <c r="AO16" s="43" t="s">
        <v>24</v>
      </c>
      <c r="AP16" s="43" t="s">
        <v>25</v>
      </c>
    </row>
    <row r="17" spans="2:42" x14ac:dyDescent="0.35">
      <c r="B17" s="3">
        <v>1</v>
      </c>
      <c r="C17" s="3" t="s">
        <v>64</v>
      </c>
      <c r="D17" s="3" t="s">
        <v>65</v>
      </c>
      <c r="E17" s="3">
        <f>ModèleScores!F9+ModèleScores!F28+ModèleScores!H43</f>
        <v>0</v>
      </c>
      <c r="F17" s="3">
        <f>ModèleScores!H9+ModèleScores!H28+ModèleScores!F43</f>
        <v>0</v>
      </c>
      <c r="G17" s="3">
        <f>E17-F17</f>
        <v>0</v>
      </c>
      <c r="H17" s="3">
        <f>IF(ModèleScores!F9="",0,1)+IF(ModèleScores!F28="",0,1)+IF(ModèleScores!H43="",0,1)</f>
        <v>0</v>
      </c>
      <c r="I17" s="3">
        <f>IF(ModèleScores!F9="",0,IF(ModèleScores!F9&gt;ModèleScores!H9,3,IF(ModèleScores!H9&gt;ModèleScores!F9,0,1)))+IF(ModèleScores!F28="",0,IF(ModèleScores!F28&gt;ModèleScores!H28,3,IF(ModèleScores!H28&gt;ModèleScores!F28,0,1)))+IF(ModèleScores!F43="",0,IF(ModèleScores!H43&gt;ModèleScores!F43,3,IF(ModèleScores!F43&gt;ModèleScores!H43,0,1)))</f>
        <v>0</v>
      </c>
      <c r="K17">
        <f>IF(ModèleScores!F9&gt;ModèleScores!H9,1,0)</f>
        <v>0</v>
      </c>
      <c r="L17">
        <f>IF(ModèleScores!F28&gt;ModèleScores!H28,1,0)</f>
        <v>0</v>
      </c>
      <c r="M17">
        <f>IF(ModèleScores!H43&gt;ModèleScores!F43,1,0)</f>
        <v>0</v>
      </c>
      <c r="Q17">
        <f>SUM(K17:L17,N17)</f>
        <v>0</v>
      </c>
      <c r="S17">
        <f>SUM(L17,M17,P17)</f>
        <v>0</v>
      </c>
      <c r="T17">
        <f>SUM(K17,M17,O17)</f>
        <v>0</v>
      </c>
      <c r="U17">
        <f>SUM(K17:P17)</f>
        <v>0</v>
      </c>
      <c r="W17" s="3">
        <v>1</v>
      </c>
      <c r="X17" s="3" t="s">
        <v>66</v>
      </c>
      <c r="Y17" s="3" t="s">
        <v>67</v>
      </c>
      <c r="Z17" s="3">
        <f>ModèleScores!F20+ModèleScores!F35+ModèleScores!H52</f>
        <v>0</v>
      </c>
      <c r="AA17" s="3">
        <f>ModèleScores!H20+ModèleScores!H35+ModèleScores!F52</f>
        <v>0</v>
      </c>
      <c r="AB17" s="3">
        <f>Z17-AA17</f>
        <v>0</v>
      </c>
      <c r="AC17" s="3">
        <f>IF(ModèleScores!F20="",0,1)+IF(ModèleScores!F35="",0,1)+IF(ModèleScores!H52="",0,1)</f>
        <v>0</v>
      </c>
      <c r="AD17" s="3">
        <f>IF(ModèleScores!F20="",0,IF(ModèleScores!F20&gt;ModèleScores!H20,3,IF(ModèleScores!H20&gt;ModèleScores!F20,0,1)))+IF(ModèleScores!F35="",0,IF(ModèleScores!F35&gt;ModèleScores!H35,3,IF(ModèleScores!H35&gt;ModèleScores!F35,0,1)))+IF(ModèleScores!F52="",0,IF(ModèleScores!H52&gt;ModèleScores!F52,3,IF(ModèleScores!F52&gt;ModèleScores!H52,0,1)))</f>
        <v>0</v>
      </c>
      <c r="AF17">
        <f>IF(ModèleScores!F20&gt;ModèleScores!H20,1,0)</f>
        <v>0</v>
      </c>
      <c r="AG17">
        <f>IF(ModèleScores!F35&gt;ModèleScores!H35,1,0)</f>
        <v>0</v>
      </c>
      <c r="AH17">
        <f>IF(ModèleScores!H52&gt;ModèleScores!F52,1,0)</f>
        <v>0</v>
      </c>
      <c r="AL17">
        <f>SUM(AF17:AG17,AI17)</f>
        <v>0</v>
      </c>
      <c r="AN17">
        <f>SUM(AG17,AH17,AK17)</f>
        <v>0</v>
      </c>
      <c r="AO17">
        <f>SUM(AF17,AH17,AJ17)</f>
        <v>0</v>
      </c>
      <c r="AP17">
        <f>SUM(AF17:AK17)</f>
        <v>0</v>
      </c>
    </row>
    <row r="18" spans="2:42" x14ac:dyDescent="0.35">
      <c r="B18" s="3">
        <v>2</v>
      </c>
      <c r="C18" s="3" t="s">
        <v>68</v>
      </c>
      <c r="D18" s="3" t="s">
        <v>69</v>
      </c>
      <c r="E18" s="3">
        <f>ModèleScores!H9+ModèleScores!H26+ModèleScores!F44</f>
        <v>0</v>
      </c>
      <c r="F18" s="3">
        <f>ModèleScores!F9+ModèleScores!F26+ModèleScores!H44</f>
        <v>0</v>
      </c>
      <c r="G18" s="3">
        <f>E18-F18</f>
        <v>0</v>
      </c>
      <c r="H18" s="3">
        <f>IF(ModèleScores!H9="",0,1)+IF(ModèleScores!H26="",0,1)+IF(ModèleScores!F44="",0,1)</f>
        <v>0</v>
      </c>
      <c r="I18" s="3">
        <f>IF(ModèleScores!H9="",0,IF(ModèleScores!H9&gt;ModèleScores!F9,3,IF(ModèleScores!F9&gt;ModèleScores!H9,0,1)))+IF(ModèleScores!H26="",0,IF(ModèleScores!H26&gt;ModèleScores!F26,3,IF(ModèleScores!F26&gt;ModèleScores!H26,0,1)))+IF(ModèleScores!F44="",0,IF(ModèleScores!F44&gt;ModèleScores!H44,3,IF(ModèleScores!H44&gt;ModèleScores!F44,0,1)))</f>
        <v>0</v>
      </c>
      <c r="K18">
        <f>IF(ModèleScores!H9&gt;ModèleScores!F9,1,0)</f>
        <v>0</v>
      </c>
      <c r="N18">
        <f>IF(ModèleScores!F44&gt;ModèleScores!H44,1,0)</f>
        <v>0</v>
      </c>
      <c r="O18">
        <f>IF(ModèleScores!H26&gt;ModèleScores!F26,1,0)</f>
        <v>0</v>
      </c>
      <c r="Q18">
        <f>SUM(K18:L18,N18)</f>
        <v>0</v>
      </c>
      <c r="R18">
        <f>SUM(N18:P18)</f>
        <v>0</v>
      </c>
      <c r="T18">
        <f>SUM(K18,M18,O18)</f>
        <v>0</v>
      </c>
      <c r="U18">
        <f>SUM(K18:P18)</f>
        <v>0</v>
      </c>
      <c r="W18" s="3">
        <v>2</v>
      </c>
      <c r="X18" s="3" t="s">
        <v>70</v>
      </c>
      <c r="Y18" s="3" t="s">
        <v>71</v>
      </c>
      <c r="Z18" s="3">
        <f>ModèleScores!H20+ModèleScores!H33+ModèleScores!F51</f>
        <v>0</v>
      </c>
      <c r="AA18" s="3">
        <f>ModèleScores!F20+ModèleScores!F33+ModèleScores!H51</f>
        <v>0</v>
      </c>
      <c r="AB18" s="3">
        <f>Z18-AA18</f>
        <v>0</v>
      </c>
      <c r="AC18" s="3">
        <f>IF(ModèleScores!H20="",0,1)+IF(ModèleScores!H33="",0,1)+IF(ModèleScores!F51="",0,1)</f>
        <v>0</v>
      </c>
      <c r="AD18" s="3">
        <f>IF(ModèleScores!H20="",0,IF(ModèleScores!H20&gt;ModèleScores!F20,3,IF(ModèleScores!F20&gt;ModèleScores!H20,0,1)))+IF(ModèleScores!H33="",0,IF(ModèleScores!H33&gt;ModèleScores!F33,3,IF(ModèleScores!F33&gt;ModèleScores!H33,0,1)))+IF(ModèleScores!F51="",0,IF(ModèleScores!F51&gt;ModèleScores!H51,3,IF(ModèleScores!H51&gt;ModèleScores!F51,0,1)))</f>
        <v>0</v>
      </c>
      <c r="AF18">
        <f>IF(ModèleScores!H20&gt;ModèleScores!F20,1,0)</f>
        <v>0</v>
      </c>
      <c r="AI18">
        <f>IF(ModèleScores!F51&gt;ModèleScores!H51,1,0)</f>
        <v>0</v>
      </c>
      <c r="AJ18">
        <f>IF(ModèleScores!H33&gt;ModèleScores!F33,1,0)</f>
        <v>0</v>
      </c>
      <c r="AL18">
        <f>SUM(AF18:AG18,AI18)</f>
        <v>0</v>
      </c>
      <c r="AM18">
        <f>SUM(AI18:AK18)</f>
        <v>0</v>
      </c>
      <c r="AO18">
        <f>SUM(AF18,AH18,AJ18)</f>
        <v>0</v>
      </c>
      <c r="AP18">
        <f>SUM(AF18:AK18)</f>
        <v>0</v>
      </c>
    </row>
    <row r="19" spans="2:42" x14ac:dyDescent="0.35">
      <c r="B19" s="3">
        <v>3</v>
      </c>
      <c r="C19" s="3" t="s">
        <v>72</v>
      </c>
      <c r="D19" s="3" t="s">
        <v>73</v>
      </c>
      <c r="E19" s="3">
        <f>ModèleScores!F11+ModèleScores!H28+ModèleScores!H44</f>
        <v>0</v>
      </c>
      <c r="F19" s="3">
        <f>ModèleScores!H11+ModèleScores!F28+ModèleScores!F44</f>
        <v>0</v>
      </c>
      <c r="G19" s="3">
        <f>E19-F19</f>
        <v>0</v>
      </c>
      <c r="H19" s="3">
        <f>IF(ModèleScores!F11="",0,1)+IF(ModèleScores!H28="",0,1)+IF(ModèleScores!H44="",0,1)</f>
        <v>0</v>
      </c>
      <c r="I19" s="3">
        <f>IF(ModèleScores!F11="",0,IF(ModèleScores!F11&gt;ModèleScores!H11,3,IF(ModèleScores!H11&gt;ModèleScores!F11,0,1)))+IF(ModèleScores!H28="",0,IF(ModèleScores!H28&gt;ModèleScores!F28,3,IF(ModèleScores!F28&gt;ModèleScores!H28,0,1)))+IF(ModèleScores!F44="",0,IF(ModèleScores!H44&gt;ModèleScores!F44,3,IF(ModèleScores!F44&gt;ModèleScores!H44,0,1)))</f>
        <v>0</v>
      </c>
      <c r="L19">
        <f>IF(ModèleScores!H28&gt;ModèleScores!F28,1,0)</f>
        <v>0</v>
      </c>
      <c r="N19">
        <f>IF(ModèleScores!H44&gt;ModèleScores!F44,1,0)</f>
        <v>0</v>
      </c>
      <c r="P19">
        <f>IF(ModèleScores!F11&gt;ModèleScores!H11,1,0)</f>
        <v>0</v>
      </c>
      <c r="Q19">
        <f>SUM(K19:L19,N19)</f>
        <v>0</v>
      </c>
      <c r="R19">
        <f>SUM(N19:P19)</f>
        <v>0</v>
      </c>
      <c r="S19">
        <f>SUM(L19,M19,P19)</f>
        <v>0</v>
      </c>
      <c r="U19">
        <f>SUM(K19:P19)</f>
        <v>0</v>
      </c>
      <c r="W19" s="3">
        <v>3</v>
      </c>
      <c r="X19" s="3" t="s">
        <v>74</v>
      </c>
      <c r="Y19" s="3" t="s">
        <v>75</v>
      </c>
      <c r="Z19" s="3">
        <f>ModèleScores!F17+ModèleScores!H35+ModèleScores!H51</f>
        <v>0</v>
      </c>
      <c r="AA19" s="3">
        <f>ModèleScores!H17+ModèleScores!F35+ModèleScores!F51</f>
        <v>0</v>
      </c>
      <c r="AB19" s="3">
        <f>Z19-AA19</f>
        <v>0</v>
      </c>
      <c r="AC19" s="3">
        <f>IF(ModèleScores!F17="",0,1)+IF(ModèleScores!H35="",0,1)+IF(ModèleScores!H51="",0,1)</f>
        <v>0</v>
      </c>
      <c r="AD19" s="3">
        <f>IF(ModèleScores!F17="",0,IF(ModèleScores!F17&gt;ModèleScores!H17,3,IF(ModèleScores!H17&gt;ModèleScores!F17,0,1)))+IF(ModèleScores!H35="",0,IF(ModèleScores!H35&gt;ModèleScores!F35,3,IF(ModèleScores!F35&gt;ModèleScores!H35,0,1)))+IF(ModèleScores!F51="",0,IF(ModèleScores!H51&gt;ModèleScores!F51,3,IF(ModèleScores!F51&gt;ModèleScores!H51,0,1)))</f>
        <v>0</v>
      </c>
      <c r="AG19">
        <f>IF(ModèleScores!H35&gt;ModèleScores!F35,1,0)</f>
        <v>0</v>
      </c>
      <c r="AI19">
        <f>IF(ModèleScores!H51&gt;ModèleScores!F51,1,0)</f>
        <v>0</v>
      </c>
      <c r="AK19">
        <f>IF(ModèleScores!F17&gt;ModèleScores!H17,1,0)</f>
        <v>0</v>
      </c>
      <c r="AL19">
        <f>SUM(AF19:AG19,AI19)</f>
        <v>0</v>
      </c>
      <c r="AM19">
        <f>SUM(AI19:AK19)</f>
        <v>0</v>
      </c>
      <c r="AN19">
        <f>SUM(AG19,AH19,AK19)</f>
        <v>0</v>
      </c>
      <c r="AP19">
        <f>SUM(AF19:AK19)</f>
        <v>0</v>
      </c>
    </row>
    <row r="20" spans="2:42" x14ac:dyDescent="0.35">
      <c r="B20" s="3">
        <v>4</v>
      </c>
      <c r="C20" s="3" t="s">
        <v>76</v>
      </c>
      <c r="D20" s="3" t="s">
        <v>77</v>
      </c>
      <c r="E20" s="3">
        <f>ModèleScores!H11+ModèleScores!F26+ModèleScores!F43</f>
        <v>0</v>
      </c>
      <c r="F20" s="3">
        <f>ModèleScores!F11+ModèleScores!H26+ModèleScores!H43</f>
        <v>0</v>
      </c>
      <c r="G20" s="3">
        <f>E20-F20</f>
        <v>0</v>
      </c>
      <c r="H20" s="3">
        <f>IF(ModèleScores!H11="",0,1)+IF(ModèleScores!F26="",0,1)+IF(ModèleScores!F43="",0,1)</f>
        <v>0</v>
      </c>
      <c r="I20" s="3">
        <f>IF(ModèleScores!H11="",0,IF(ModèleScores!H11&gt;ModèleScores!F11,3,IF(ModèleScores!F11&gt;ModèleScores!H11,0,1)))+IF(ModèleScores!F26="",0,IF(ModèleScores!F26&gt;ModèleScores!H26,3,IF(ModèleScores!H26&gt;ModèleScores!F26,0,1)))+IF(ModèleScores!F43="",0,IF(ModèleScores!F43&gt;ModèleScores!H43,3,IF(ModèleScores!H43&gt;ModèleScores!F43,0,1)))</f>
        <v>0</v>
      </c>
      <c r="M20">
        <f>IF(ModèleScores!F43&gt;ModèleScores!H43,1,0)</f>
        <v>0</v>
      </c>
      <c r="O20">
        <f>IF(ModèleScores!F26&gt;ModèleScores!H26,1,0)</f>
        <v>0</v>
      </c>
      <c r="P20">
        <f>IF(ModèleScores!H11&gt;ModèleScores!F11,1,0)</f>
        <v>0</v>
      </c>
      <c r="R20">
        <f>SUM(N20:P20)</f>
        <v>0</v>
      </c>
      <c r="S20">
        <f>SUM(L20,M20,P20)</f>
        <v>0</v>
      </c>
      <c r="T20">
        <f>SUM(K20,M20,O20)</f>
        <v>0</v>
      </c>
      <c r="U20">
        <f>SUM(K20:P20)</f>
        <v>0</v>
      </c>
      <c r="W20" s="3">
        <v>4</v>
      </c>
      <c r="X20" s="3" t="s">
        <v>78</v>
      </c>
      <c r="Y20" s="3" t="s">
        <v>79</v>
      </c>
      <c r="Z20" s="3">
        <f>ModèleScores!H17+ModèleScores!F33+ModèleScores!F52</f>
        <v>0</v>
      </c>
      <c r="AA20" s="3">
        <f>ModèleScores!F17+ModèleScores!H33+ModèleScores!H52</f>
        <v>0</v>
      </c>
      <c r="AB20" s="3">
        <f>Z20-AA20</f>
        <v>0</v>
      </c>
      <c r="AC20" s="3">
        <f>IF(ModèleScores!H17="",0,1)+IF(ModèleScores!F33="",0,1)+IF(ModèleScores!F52="",0,1)</f>
        <v>0</v>
      </c>
      <c r="AD20" s="3">
        <f>IF(ModèleScores!H17="",0,IF(ModèleScores!H17&gt;ModèleScores!F17,3,IF(ModèleScores!F17&gt;ModèleScores!H17,0,1)))+IF(ModèleScores!F33="",0,IF(ModèleScores!F33&gt;ModèleScores!H33,3,IF(ModèleScores!H33&gt;ModèleScores!F33,0,1)))+IF(ModèleScores!F52="",0,IF(ModèleScores!F52&gt;ModèleScores!H52,3,IF(ModèleScores!H52&gt;ModèleScores!F52,0,1)))</f>
        <v>0</v>
      </c>
      <c r="AH20">
        <f>IF(ModèleScores!F52&gt;ModèleScores!H52,1,0)</f>
        <v>0</v>
      </c>
      <c r="AJ20">
        <f>IF(ModèleScores!F33&gt;ModèleScores!H33,1,0)</f>
        <v>0</v>
      </c>
      <c r="AK20">
        <f>IF(ModèleScores!H17&gt;ModèleScores!F17,1,0)</f>
        <v>0</v>
      </c>
      <c r="AM20">
        <f>SUM(AI20:AK20)</f>
        <v>0</v>
      </c>
      <c r="AN20">
        <f>SUM(AG20,AH20,AK20)</f>
        <v>0</v>
      </c>
      <c r="AO20">
        <f>SUM(AF20,AH20,AJ20)</f>
        <v>0</v>
      </c>
      <c r="AP20">
        <f>SUM(AF20:AK20)</f>
        <v>0</v>
      </c>
    </row>
    <row r="23" spans="2:42" x14ac:dyDescent="0.35">
      <c r="B23" s="1" t="s">
        <v>61</v>
      </c>
      <c r="C23" s="1" t="s">
        <v>80</v>
      </c>
      <c r="D23" s="1" t="s">
        <v>9</v>
      </c>
      <c r="E23" s="1" t="s">
        <v>10</v>
      </c>
      <c r="F23" s="1" t="s">
        <v>11</v>
      </c>
      <c r="G23" s="1" t="s">
        <v>12</v>
      </c>
      <c r="H23" s="1" t="s">
        <v>13</v>
      </c>
      <c r="I23" s="1" t="s">
        <v>14</v>
      </c>
      <c r="K23" s="6" t="s">
        <v>15</v>
      </c>
      <c r="L23" s="6" t="s">
        <v>16</v>
      </c>
      <c r="M23" s="6" t="s">
        <v>17</v>
      </c>
      <c r="N23" s="6" t="s">
        <v>18</v>
      </c>
      <c r="O23" s="6" t="s">
        <v>19</v>
      </c>
      <c r="P23" s="6" t="s">
        <v>20</v>
      </c>
      <c r="Q23" s="6" t="s">
        <v>21</v>
      </c>
      <c r="R23" s="6" t="s">
        <v>22</v>
      </c>
      <c r="S23" s="6" t="s">
        <v>23</v>
      </c>
      <c r="T23" s="6" t="s">
        <v>24</v>
      </c>
      <c r="U23" s="6" t="s">
        <v>25</v>
      </c>
      <c r="W23" s="1" t="s">
        <v>7</v>
      </c>
      <c r="X23" s="1" t="s">
        <v>81</v>
      </c>
      <c r="Y23" s="1" t="s">
        <v>9</v>
      </c>
      <c r="Z23" s="1" t="s">
        <v>10</v>
      </c>
      <c r="AA23" s="1" t="s">
        <v>11</v>
      </c>
      <c r="AB23" s="1" t="s">
        <v>12</v>
      </c>
      <c r="AC23" s="1" t="s">
        <v>13</v>
      </c>
      <c r="AD23" s="1" t="s">
        <v>14</v>
      </c>
      <c r="AE23" s="2"/>
      <c r="AF23" s="44" t="s">
        <v>15</v>
      </c>
      <c r="AG23" s="43" t="s">
        <v>16</v>
      </c>
      <c r="AH23" s="43" t="s">
        <v>17</v>
      </c>
      <c r="AI23" s="43" t="s">
        <v>18</v>
      </c>
      <c r="AJ23" s="43" t="s">
        <v>19</v>
      </c>
      <c r="AK23" s="43" t="s">
        <v>20</v>
      </c>
      <c r="AL23" s="43" t="s">
        <v>21</v>
      </c>
      <c r="AM23" s="43" t="s">
        <v>22</v>
      </c>
      <c r="AN23" s="43" t="s">
        <v>23</v>
      </c>
      <c r="AO23" s="43" t="s">
        <v>24</v>
      </c>
      <c r="AP23" s="43" t="s">
        <v>25</v>
      </c>
    </row>
    <row r="24" spans="2:42" x14ac:dyDescent="0.35">
      <c r="B24" s="3">
        <v>1</v>
      </c>
      <c r="C24" s="3" t="s">
        <v>82</v>
      </c>
      <c r="D24" s="3" t="s">
        <v>83</v>
      </c>
      <c r="E24" s="3">
        <f>ModèleScores!F12+ModèleScores!F27+ModèleScores!H42</f>
        <v>0</v>
      </c>
      <c r="F24" s="3">
        <f>ModèleScores!H12+ModèleScores!H27+ModèleScores!F42</f>
        <v>0</v>
      </c>
      <c r="G24" s="3">
        <f>E24-F24</f>
        <v>0</v>
      </c>
      <c r="H24" s="3">
        <f>IF(ModèleScores!F12="",0,1)+IF(ModèleScores!F27="",0,1)+IF(ModèleScores!H42="",0,1)</f>
        <v>0</v>
      </c>
      <c r="I24" s="3">
        <f>IF(ModèleScores!F12="",0,IF(ModèleScores!F12&gt;ModèleScores!H12,3,IF(ModèleScores!H12&gt;ModèleScores!F12,0,1)))+IF(ModèleScores!F27="",0,IF(ModèleScores!F27&gt;ModèleScores!H27,3,IF(ModèleScores!H27&gt;ModèleScores!F27,0,1)))+IF(ModèleScores!F42="",0,IF(ModèleScores!H42&gt;ModèleScores!F42,3,IF(ModèleScores!F42&gt;ModèleScores!H42,0,1)))</f>
        <v>0</v>
      </c>
      <c r="K24">
        <f>IF(ModèleScores!F27&gt;ModèleScores!H27,1,0)</f>
        <v>0</v>
      </c>
      <c r="L24">
        <f>IF(ModèleScores!H42&gt;ModèleScores!F42,1,0)</f>
        <v>0</v>
      </c>
      <c r="M24">
        <f>IF(ModèleScores!F12&gt;ModèleScores!H12,1,0)</f>
        <v>0</v>
      </c>
      <c r="Q24">
        <f>SUM(K24:L24,N24)</f>
        <v>0</v>
      </c>
      <c r="S24">
        <f>SUM(L24,M24,P24)</f>
        <v>0</v>
      </c>
      <c r="T24">
        <f>SUM(K24,M24,O24)</f>
        <v>0</v>
      </c>
      <c r="U24">
        <f>SUM(K24:P24)</f>
        <v>0</v>
      </c>
      <c r="W24" s="3">
        <v>1</v>
      </c>
      <c r="X24" s="3" t="s">
        <v>84</v>
      </c>
      <c r="Y24" s="3" t="s">
        <v>85</v>
      </c>
      <c r="Z24" s="3">
        <f>ModèleScores!F19+ModèleScores!F36+ModèleScores!H50</f>
        <v>0</v>
      </c>
      <c r="AA24" s="3">
        <f>ModèleScores!H19+ModèleScores!H36+ModèleScores!F50</f>
        <v>0</v>
      </c>
      <c r="AB24" s="3">
        <f>Z24-AA24</f>
        <v>0</v>
      </c>
      <c r="AC24" s="3">
        <f>IF(ModèleScores!F19="",0,1)+IF(ModèleScores!F36="",0,1)+IF(ModèleScores!H50="",0,1)</f>
        <v>0</v>
      </c>
      <c r="AD24" s="3">
        <f>IF(ModèleScores!F19="",0,IF(ModèleScores!F19&gt;ModèleScores!H19,3,IF(ModèleScores!H19&gt;ModèleScores!F19,0,1)))+IF(ModèleScores!F36="",0,IF(ModèleScores!F36&gt;ModèleScores!H36,3,IF(ModèleScores!H36&gt;ModèleScores!F36,0,1)))+IF(ModèleScores!F50="",0,IF(ModèleScores!H50&gt;ModèleScores!F50,3,IF(ModèleScores!F50&gt;ModèleScores!H50,0,1)))</f>
        <v>0</v>
      </c>
      <c r="AF24">
        <f>IF(ModèleScores!F19&gt;ModèleScores!H19,1,0)</f>
        <v>0</v>
      </c>
      <c r="AG24">
        <f>IF(ModèleScores!F36&gt;ModèleScores!H36,1,0)</f>
        <v>0</v>
      </c>
      <c r="AH24">
        <f>IF(ModèleScores!H50&gt;ModèleScores!F50,1,0)</f>
        <v>0</v>
      </c>
      <c r="AL24">
        <f>SUM(AF24:AG24,AI24)</f>
        <v>0</v>
      </c>
      <c r="AN24">
        <f>SUM(AG24,AH24,AK24)</f>
        <v>0</v>
      </c>
      <c r="AO24">
        <f>SUM(AF24,AH24,AJ24)</f>
        <v>0</v>
      </c>
      <c r="AP24">
        <f>SUM(AF24:AK24)</f>
        <v>0</v>
      </c>
    </row>
    <row r="25" spans="2:42" x14ac:dyDescent="0.35">
      <c r="B25" s="3">
        <v>2</v>
      </c>
      <c r="C25" s="3" t="s">
        <v>86</v>
      </c>
      <c r="D25" s="3" t="s">
        <v>87</v>
      </c>
      <c r="E25" s="3">
        <f>ModèleScores!F10+ModèleScores!H27+ModèleScores!H41</f>
        <v>0</v>
      </c>
      <c r="F25" s="3">
        <f>ModèleScores!H10+ModèleScores!F27+ModèleScores!F41</f>
        <v>0</v>
      </c>
      <c r="G25" s="3">
        <f>E25-F25</f>
        <v>0</v>
      </c>
      <c r="H25" s="3">
        <f>IF(ModèleScores!F10="",0,1)+IF(ModèleScores!H27="",0,1)+IF(ModèleScores!H41="",0,1)</f>
        <v>0</v>
      </c>
      <c r="I25" s="3">
        <f>IF(ModèleScores!H10="",0,IF(ModèleScores!H10&gt;ModèleScores!F10,3,IF(ModèleScores!F10&gt;ModèleScores!H10,0,1)))+IF(ModèleScores!H27="",0,IF(ModèleScores!H27&gt;ModèleScores!F27,3,IF(ModèleScores!F27&gt;ModèleScores!H27,0,1)))+IF(ModèleScores!F41="",0,IF(ModèleScores!F41&gt;ModèleScores!H41,3,IF(ModèleScores!H41&gt;ModèleScores!F41,0,1)))</f>
        <v>0</v>
      </c>
      <c r="K25">
        <f>IF(ModèleScores!H27&gt;ModèleScores!F27,1,0)</f>
        <v>0</v>
      </c>
      <c r="N25">
        <f>IF(ModèleScores!F10&gt;ModèleScores!H10,1,0)</f>
        <v>0</v>
      </c>
      <c r="O25">
        <f>IF(ModèleScores!H41&gt;ModèleScores!F41,1,0)</f>
        <v>0</v>
      </c>
      <c r="Q25">
        <f>SUM(K25:L25,N25)</f>
        <v>0</v>
      </c>
      <c r="R25">
        <f>SUM(N25:P25)</f>
        <v>0</v>
      </c>
      <c r="T25">
        <f>SUM(K25,M25,O25)</f>
        <v>0</v>
      </c>
      <c r="U25">
        <f>SUM(K25:P25)</f>
        <v>0</v>
      </c>
      <c r="W25" s="3">
        <v>2</v>
      </c>
      <c r="X25" s="3" t="s">
        <v>88</v>
      </c>
      <c r="Y25" s="3" t="s">
        <v>89</v>
      </c>
      <c r="Z25" s="3">
        <f>ModèleScores!H19+ModèleScores!H34+ModèleScores!F49</f>
        <v>0</v>
      </c>
      <c r="AA25" s="3">
        <f>ModèleScores!F19+ModèleScores!F34+ModèleScores!H49</f>
        <v>0</v>
      </c>
      <c r="AB25" s="3">
        <f>Z25-AA25</f>
        <v>0</v>
      </c>
      <c r="AC25" s="3">
        <f>IF(ModèleScores!H19="",0,1)+IF(ModèleScores!H34="",0,1)+IF(ModèleScores!F49="",0,1)</f>
        <v>0</v>
      </c>
      <c r="AD25" s="3">
        <f>IF(ModèleScores!H19="",0,IF(ModèleScores!H19&gt;ModèleScores!F19,3,IF(ModèleScores!F19&gt;ModèleScores!H19,0,1)))+IF(ModèleScores!H34="",0,IF(ModèleScores!H34&gt;ModèleScores!F34,3,IF(ModèleScores!F34&gt;ModèleScores!H34,0,1)))+IF(ModèleScores!F49="",0,IF(ModèleScores!F49&gt;ModèleScores!H49,3,IF(ModèleScores!H49&gt;ModèleScores!F49,0,1)))</f>
        <v>0</v>
      </c>
      <c r="AF25">
        <f>IF(ModèleScores!H19&gt;ModèleScores!F19,1,0)</f>
        <v>0</v>
      </c>
      <c r="AI25">
        <f>IF(ModèleScores!F49&gt;ModèleScores!H49,1,0)</f>
        <v>0</v>
      </c>
      <c r="AJ25">
        <f>IF(ModèleScores!H34&gt;ModèleScores!F34,1,0)</f>
        <v>0</v>
      </c>
      <c r="AL25">
        <f>SUM(AF25:AG25,AI25)</f>
        <v>0</v>
      </c>
      <c r="AM25">
        <f>SUM(AI25:AK25)</f>
        <v>0</v>
      </c>
      <c r="AO25">
        <f>SUM(AF25,AH25,AJ25)</f>
        <v>0</v>
      </c>
      <c r="AP25">
        <f>SUM(AF25:AK25)</f>
        <v>0</v>
      </c>
    </row>
    <row r="26" spans="2:42" x14ac:dyDescent="0.35">
      <c r="B26" s="3">
        <v>3</v>
      </c>
      <c r="C26" s="3" t="s">
        <v>90</v>
      </c>
      <c r="D26" s="3" t="s">
        <v>91</v>
      </c>
      <c r="E26" s="3">
        <f>ModèleScores!H10+ModèleScores!F25+ModèleScores!F42</f>
        <v>0</v>
      </c>
      <c r="F26" s="3">
        <f>ModèleScores!F10+ModèleScores!H25+ModèleScores!H42</f>
        <v>0</v>
      </c>
      <c r="G26" s="3">
        <f>E26-F26</f>
        <v>0</v>
      </c>
      <c r="H26" s="3">
        <f>IF(ModèleScores!H10="",0,1)+IF(ModèleScores!F25="",0,1)+IF(ModèleScores!F42="",0,1)</f>
        <v>0</v>
      </c>
      <c r="I26" s="3">
        <f>IF(ModèleScores!H10="",0,IF(ModèleScores!H10&gt;ModèleScores!F10,3,IF(ModèleScores!F10&gt;ModèleScores!H10,0,1)))+IF(ModèleScores!F25="",0,IF(ModèleScores!F25&gt;ModèleScores!H25,3,IF(ModèleScores!H25&gt;ModèleScores!F25,0,1)))+IF(ModèleScores!F42="",0,IF(ModèleScores!F42&gt;ModèleScores!H42,3,IF(ModèleScores!H42&gt;ModèleScores!F42,0,1)))</f>
        <v>0</v>
      </c>
      <c r="L26">
        <f>IF(ModèleScores!F42&gt;ModèleScores!H42,1,0)</f>
        <v>0</v>
      </c>
      <c r="N26">
        <f>IF(ModèleScores!H10&gt;ModèleScores!F10,1,0)</f>
        <v>0</v>
      </c>
      <c r="P26">
        <f>IF(ModèleScores!F25&gt;ModèleScores!H25,1,0)</f>
        <v>0</v>
      </c>
      <c r="Q26">
        <f>SUM(K26:L26,N26)</f>
        <v>0</v>
      </c>
      <c r="R26">
        <f>SUM(N26:P26)</f>
        <v>0</v>
      </c>
      <c r="S26">
        <f>SUM(L26,M26,P26)</f>
        <v>0</v>
      </c>
      <c r="U26">
        <f>SUM(K26:P26)</f>
        <v>0</v>
      </c>
      <c r="W26" s="3">
        <v>3</v>
      </c>
      <c r="X26" s="3" t="s">
        <v>92</v>
      </c>
      <c r="Y26" s="3" t="s">
        <v>93</v>
      </c>
      <c r="Z26" s="3">
        <f>ModèleScores!F18+ModèleScores!H36+ModèleScores!H49</f>
        <v>0</v>
      </c>
      <c r="AA26" s="3">
        <f>ModèleScores!H18+ModèleScores!F36+ModèleScores!F49</f>
        <v>0</v>
      </c>
      <c r="AB26" s="3">
        <f>Z26-AA26</f>
        <v>0</v>
      </c>
      <c r="AC26" s="3">
        <f>IF(ModèleScores!F18="",0,1)+IF(ModèleScores!H36="",0,1)+IF(ModèleScores!H49="",0,1)</f>
        <v>0</v>
      </c>
      <c r="AD26" s="3">
        <f>IF(ModèleScores!F18="",0,IF(ModèleScores!F18&gt;ModèleScores!H18,3,IF(ModèleScores!H18&gt;ModèleScores!F18,0,1)))+IF(ModèleScores!H36="",0,IF(ModèleScores!H36&gt;ModèleScores!F36,3,IF(ModèleScores!F36&gt;ModèleScores!H36,0,1)))+IF(ModèleScores!F49="",0,IF(ModèleScores!H49&gt;ModèleScores!F49,3,IF(ModèleScores!F49&gt;ModèleScores!H49,0,1)))</f>
        <v>0</v>
      </c>
      <c r="AG26">
        <f>IF(ModèleScores!H36&gt;ModèleScores!F36,1,0)</f>
        <v>0</v>
      </c>
      <c r="AI26">
        <f>IF(ModèleScores!H49&gt;ModèleScores!F49,1,0)</f>
        <v>0</v>
      </c>
      <c r="AK26">
        <f>IF(ModèleScores!F18&gt;ModèleScores!H18,1,0)</f>
        <v>0</v>
      </c>
      <c r="AL26">
        <f>SUM(AF26:AG26,AI26)</f>
        <v>0</v>
      </c>
      <c r="AM26">
        <f>SUM(AI26:AK26)</f>
        <v>0</v>
      </c>
      <c r="AN26">
        <f>SUM(AG26,AH26,AK26)</f>
        <v>0</v>
      </c>
      <c r="AP26">
        <f>SUM(AF26:AK26)</f>
        <v>0</v>
      </c>
    </row>
    <row r="27" spans="2:42" x14ac:dyDescent="0.35">
      <c r="B27" s="3">
        <v>4</v>
      </c>
      <c r="C27" s="3" t="s">
        <v>94</v>
      </c>
      <c r="D27" s="3" t="s">
        <v>95</v>
      </c>
      <c r="E27" s="3">
        <f>ModèleScores!H12+ModèleScores!H25+ModèleScores!F41</f>
        <v>0</v>
      </c>
      <c r="F27" s="3">
        <f>ModèleScores!F12+ModèleScores!F25+ModèleScores!H41</f>
        <v>0</v>
      </c>
      <c r="G27" s="3">
        <f>E27-F27</f>
        <v>0</v>
      </c>
      <c r="H27" s="3">
        <f>IF(ModèleScores!H12="",0,1)+IF(ModèleScores!H25="",0,1)+IF(ModèleScores!F41="",0,1)</f>
        <v>0</v>
      </c>
      <c r="I27" s="3">
        <f>IF(ModèleScores!H12="",0,IF(ModèleScores!H12&gt;ModèleScores!F12,3,IF(ModèleScores!F12&gt;ModèleScores!H12,0,1)))+IF(ModèleScores!H25="",0,IF(ModèleScores!H25&gt;ModèleScores!F25,3,IF(ModèleScores!F25&gt;ModèleScores!H25,0,1)))+IF(ModèleScores!F41="",0,IF(ModèleScores!F41&gt;ModèleScores!H41,3,IF(ModèleScores!H41&gt;ModèleScores!F41,0,1)))</f>
        <v>0</v>
      </c>
      <c r="M27">
        <f>IF(ModèleScores!H12&gt;ModèleScores!F12,1,0)</f>
        <v>0</v>
      </c>
      <c r="O27">
        <f>IF(ModèleScores!F41&gt;ModèleScores!H41,1,0)</f>
        <v>0</v>
      </c>
      <c r="P27">
        <f>IF(ModèleScores!H25&gt;ModèleScores!F25,1,0)</f>
        <v>0</v>
      </c>
      <c r="R27">
        <f>SUM(N27:P27)</f>
        <v>0</v>
      </c>
      <c r="S27">
        <f>SUM(L27,M27,P27)</f>
        <v>0</v>
      </c>
      <c r="T27">
        <f>SUM(K27,M27,O27)</f>
        <v>0</v>
      </c>
      <c r="U27">
        <f>SUM(K27:P27)</f>
        <v>0</v>
      </c>
      <c r="W27" s="3">
        <v>4</v>
      </c>
      <c r="X27" s="3" t="s">
        <v>96</v>
      </c>
      <c r="Y27" s="3" t="s">
        <v>97</v>
      </c>
      <c r="Z27" s="3">
        <f>ModèleScores!H18+ModèleScores!F34+ModèleScores!F50</f>
        <v>0</v>
      </c>
      <c r="AA27" s="3">
        <f>ModèleScores!F18+ModèleScores!H34+ModèleScores!H50</f>
        <v>0</v>
      </c>
      <c r="AB27" s="3">
        <f>Z27-AA27</f>
        <v>0</v>
      </c>
      <c r="AC27" s="3">
        <f>IF(ModèleScores!H18="",0,1)+IF(ModèleScores!F34="",0,1)+IF(ModèleScores!F50="",0,1)</f>
        <v>0</v>
      </c>
      <c r="AD27" s="3">
        <f>IF(ModèleScores!H18="",0,IF(ModèleScores!H18&gt;ModèleScores!F18,3,IF(ModèleScores!F18&gt;ModèleScores!H18,0,1)))+IF(ModèleScores!F34="",0,IF(ModèleScores!F34&gt;ModèleScores!H34,3,IF(ModèleScores!H34&gt;ModèleScores!F34,0,1)))+IF(ModèleScores!F50="",0,IF(ModèleScores!F50&gt;ModèleScores!H50,3,IF(ModèleScores!H50&gt;ModèleScores!F50,0,1)))</f>
        <v>0</v>
      </c>
      <c r="AH27">
        <f>IF(ModèleScores!F50&gt;ModèleScores!H50,1,0)</f>
        <v>0</v>
      </c>
      <c r="AJ27">
        <f>IF(ModèleScores!F34&gt;ModèleScores!H34,1,0)</f>
        <v>0</v>
      </c>
      <c r="AK27">
        <f>IF(ModèleScores!H18&gt;ModèleScores!F18,1,0)</f>
        <v>0</v>
      </c>
      <c r="AM27">
        <f>SUM(AI27:AK27)</f>
        <v>0</v>
      </c>
      <c r="AN27">
        <f>SUM(AG27,AH27,AK27)</f>
        <v>0</v>
      </c>
      <c r="AO27">
        <f>SUM(AF27,AH27,AJ27)</f>
        <v>0</v>
      </c>
      <c r="AP27">
        <f>SUM(AF27:AK27)</f>
        <v>0</v>
      </c>
    </row>
  </sheetData>
  <sortState xmlns:xlrd2="http://schemas.microsoft.com/office/spreadsheetml/2017/richdata2" ref="W24:AD27">
    <sortCondition descending="1" ref="AD24:AD27"/>
    <sortCondition descending="1" ref="AB24:AB27"/>
    <sortCondition descending="1" ref="Z24:Z27"/>
  </sortState>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ataMatch"/>
  <dimension ref="B2:G50"/>
  <sheetViews>
    <sheetView workbookViewId="0">
      <selection activeCell="F15" sqref="F15"/>
    </sheetView>
  </sheetViews>
  <sheetFormatPr defaultRowHeight="14.5" x14ac:dyDescent="0.35"/>
  <cols>
    <col min="2" max="2" width="10.54296875" customWidth="1"/>
    <col min="3" max="3" width="10.453125" bestFit="1" customWidth="1"/>
    <col min="4" max="4" width="10.453125" customWidth="1"/>
  </cols>
  <sheetData>
    <row r="2" spans="2:7" x14ac:dyDescent="0.35">
      <c r="B2" t="s">
        <v>182</v>
      </c>
      <c r="C2" t="s">
        <v>183</v>
      </c>
      <c r="D2" t="s">
        <v>99</v>
      </c>
      <c r="E2" t="s">
        <v>184</v>
      </c>
      <c r="F2" t="s">
        <v>185</v>
      </c>
      <c r="G2" t="s">
        <v>186</v>
      </c>
    </row>
    <row r="3" spans="2:7" hidden="1" x14ac:dyDescent="0.35">
      <c r="B3">
        <v>1</v>
      </c>
      <c r="C3" s="4">
        <v>44885</v>
      </c>
      <c r="D3" s="5">
        <v>0.66666666666666663</v>
      </c>
      <c r="E3" t="s">
        <v>8</v>
      </c>
      <c r="F3" t="s">
        <v>28</v>
      </c>
      <c r="G3" t="s">
        <v>32</v>
      </c>
    </row>
    <row r="4" spans="2:7" hidden="1" x14ac:dyDescent="0.35">
      <c r="B4">
        <f>B3+1</f>
        <v>2</v>
      </c>
      <c r="C4" s="4">
        <v>44886</v>
      </c>
      <c r="D4" s="5">
        <v>0.54166666666666663</v>
      </c>
      <c r="E4" t="s">
        <v>43</v>
      </c>
      <c r="F4" t="s">
        <v>46</v>
      </c>
      <c r="G4" t="s">
        <v>50</v>
      </c>
    </row>
    <row r="5" spans="2:7" hidden="1" x14ac:dyDescent="0.35">
      <c r="B5">
        <f>B4+1</f>
        <v>3</v>
      </c>
      <c r="C5" s="4">
        <v>44886</v>
      </c>
      <c r="D5" s="5">
        <v>0.66666666666666663</v>
      </c>
      <c r="E5" t="s">
        <v>8</v>
      </c>
      <c r="F5" t="s">
        <v>36</v>
      </c>
      <c r="G5" t="s">
        <v>40</v>
      </c>
    </row>
    <row r="6" spans="2:7" hidden="1" x14ac:dyDescent="0.35">
      <c r="B6">
        <f>B5+1</f>
        <v>4</v>
      </c>
      <c r="C6" s="4">
        <v>44886</v>
      </c>
      <c r="D6" s="5">
        <v>0.79166666666666663</v>
      </c>
      <c r="E6" t="s">
        <v>43</v>
      </c>
      <c r="F6" t="s">
        <v>54</v>
      </c>
      <c r="G6" t="s">
        <v>58</v>
      </c>
    </row>
    <row r="7" spans="2:7" hidden="1" x14ac:dyDescent="0.35">
      <c r="B7">
        <f t="shared" ref="B7:B50" si="0">B6+1</f>
        <v>5</v>
      </c>
      <c r="C7" s="4">
        <f>C4+1</f>
        <v>44887</v>
      </c>
      <c r="D7" s="5">
        <v>0.41666666666666669</v>
      </c>
      <c r="E7" t="s">
        <v>62</v>
      </c>
      <c r="F7" t="s">
        <v>65</v>
      </c>
      <c r="G7" t="s">
        <v>69</v>
      </c>
    </row>
    <row r="8" spans="2:7" hidden="1" x14ac:dyDescent="0.35">
      <c r="B8">
        <f t="shared" si="0"/>
        <v>6</v>
      </c>
      <c r="C8" s="4">
        <f>C5+1</f>
        <v>44887</v>
      </c>
      <c r="D8" s="5">
        <v>0.54166666666666663</v>
      </c>
      <c r="E8" t="s">
        <v>80</v>
      </c>
      <c r="F8" t="s">
        <v>87</v>
      </c>
      <c r="G8" t="s">
        <v>91</v>
      </c>
    </row>
    <row r="9" spans="2:7" hidden="1" x14ac:dyDescent="0.35">
      <c r="B9">
        <f t="shared" si="0"/>
        <v>7</v>
      </c>
      <c r="C9" s="4">
        <v>44887</v>
      </c>
      <c r="D9" s="5">
        <v>0.66666666666666663</v>
      </c>
      <c r="E9" t="s">
        <v>62</v>
      </c>
      <c r="F9" t="s">
        <v>73</v>
      </c>
      <c r="G9" t="s">
        <v>77</v>
      </c>
    </row>
    <row r="10" spans="2:7" hidden="1" x14ac:dyDescent="0.35">
      <c r="B10">
        <f t="shared" si="0"/>
        <v>8</v>
      </c>
      <c r="C10" s="4">
        <f t="shared" ref="C10:C50" si="1">C6+1</f>
        <v>44887</v>
      </c>
      <c r="D10" s="5">
        <v>0.79166666666666663</v>
      </c>
      <c r="E10" t="s">
        <v>80</v>
      </c>
      <c r="F10" t="s">
        <v>83</v>
      </c>
      <c r="G10" t="s">
        <v>95</v>
      </c>
    </row>
    <row r="11" spans="2:7" hidden="1" x14ac:dyDescent="0.35">
      <c r="B11">
        <f t="shared" si="0"/>
        <v>9</v>
      </c>
      <c r="C11" s="4">
        <f t="shared" si="1"/>
        <v>44888</v>
      </c>
      <c r="D11" s="5">
        <v>0.41666666666666669</v>
      </c>
      <c r="E11" t="s">
        <v>44</v>
      </c>
      <c r="F11" t="s">
        <v>56</v>
      </c>
      <c r="G11" t="s">
        <v>60</v>
      </c>
    </row>
    <row r="12" spans="2:7" hidden="1" x14ac:dyDescent="0.35">
      <c r="B12">
        <f t="shared" si="0"/>
        <v>10</v>
      </c>
      <c r="C12" s="4">
        <f t="shared" si="1"/>
        <v>44888</v>
      </c>
      <c r="D12" s="5">
        <v>0.54166666666666663</v>
      </c>
      <c r="E12" t="s">
        <v>26</v>
      </c>
      <c r="F12" t="s">
        <v>34</v>
      </c>
      <c r="G12" t="s">
        <v>38</v>
      </c>
    </row>
    <row r="13" spans="2:7" hidden="1" x14ac:dyDescent="0.35">
      <c r="B13">
        <f t="shared" si="0"/>
        <v>11</v>
      </c>
      <c r="C13" s="4">
        <f t="shared" si="1"/>
        <v>44888</v>
      </c>
      <c r="D13" s="5">
        <v>0.66666666666666663</v>
      </c>
      <c r="E13" t="s">
        <v>26</v>
      </c>
      <c r="F13" t="s">
        <v>30</v>
      </c>
      <c r="G13" t="s">
        <v>42</v>
      </c>
    </row>
    <row r="14" spans="2:7" hidden="1" x14ac:dyDescent="0.35">
      <c r="B14">
        <f t="shared" si="0"/>
        <v>12</v>
      </c>
      <c r="C14" s="4">
        <f t="shared" si="1"/>
        <v>44888</v>
      </c>
      <c r="D14" s="5">
        <v>0.79166666666666663</v>
      </c>
      <c r="E14" t="s">
        <v>44</v>
      </c>
      <c r="F14" t="s">
        <v>48</v>
      </c>
      <c r="G14" t="s">
        <v>52</v>
      </c>
    </row>
    <row r="15" spans="2:7" x14ac:dyDescent="0.35">
      <c r="B15">
        <f t="shared" si="0"/>
        <v>13</v>
      </c>
      <c r="C15" s="4">
        <f t="shared" si="1"/>
        <v>44889</v>
      </c>
      <c r="D15" s="5">
        <v>0.41666666666666669</v>
      </c>
      <c r="E15" t="s">
        <v>63</v>
      </c>
      <c r="F15" t="s">
        <v>75</v>
      </c>
      <c r="G15" t="s">
        <v>79</v>
      </c>
    </row>
    <row r="16" spans="2:7" hidden="1" x14ac:dyDescent="0.35">
      <c r="B16">
        <f t="shared" si="0"/>
        <v>14</v>
      </c>
      <c r="C16" s="4">
        <f t="shared" si="1"/>
        <v>44889</v>
      </c>
      <c r="D16" s="5">
        <v>0.54166666666666663</v>
      </c>
      <c r="E16" t="s">
        <v>81</v>
      </c>
      <c r="F16" t="s">
        <v>93</v>
      </c>
      <c r="G16" t="s">
        <v>97</v>
      </c>
    </row>
    <row r="17" spans="2:7" hidden="1" x14ac:dyDescent="0.35">
      <c r="B17">
        <f t="shared" si="0"/>
        <v>15</v>
      </c>
      <c r="C17" s="4">
        <f t="shared" si="1"/>
        <v>44889</v>
      </c>
      <c r="D17" s="5">
        <v>0.66666666666666663</v>
      </c>
      <c r="E17" t="s">
        <v>81</v>
      </c>
      <c r="F17" t="s">
        <v>85</v>
      </c>
      <c r="G17" t="s">
        <v>89</v>
      </c>
    </row>
    <row r="18" spans="2:7" x14ac:dyDescent="0.35">
      <c r="B18">
        <f t="shared" si="0"/>
        <v>16</v>
      </c>
      <c r="C18" s="4">
        <f t="shared" si="1"/>
        <v>44889</v>
      </c>
      <c r="D18" s="5">
        <v>0.79166666666666663</v>
      </c>
      <c r="E18" t="s">
        <v>63</v>
      </c>
      <c r="F18" t="s">
        <v>67</v>
      </c>
      <c r="G18" t="s">
        <v>71</v>
      </c>
    </row>
    <row r="19" spans="2:7" hidden="1" x14ac:dyDescent="0.35">
      <c r="B19">
        <f t="shared" si="0"/>
        <v>17</v>
      </c>
      <c r="C19" s="4">
        <f t="shared" si="1"/>
        <v>44890</v>
      </c>
      <c r="D19" s="5">
        <v>0.41666666666666669</v>
      </c>
      <c r="E19" t="s">
        <v>43</v>
      </c>
      <c r="F19" t="s">
        <v>58</v>
      </c>
      <c r="G19" t="s">
        <v>50</v>
      </c>
    </row>
    <row r="20" spans="2:7" hidden="1" x14ac:dyDescent="0.35">
      <c r="B20">
        <f t="shared" si="0"/>
        <v>18</v>
      </c>
      <c r="C20" s="4">
        <f t="shared" si="1"/>
        <v>44890</v>
      </c>
      <c r="D20" s="5">
        <v>0.54166666666666663</v>
      </c>
      <c r="E20" t="s">
        <v>8</v>
      </c>
      <c r="F20" t="s">
        <v>28</v>
      </c>
      <c r="G20" t="s">
        <v>36</v>
      </c>
    </row>
    <row r="21" spans="2:7" hidden="1" x14ac:dyDescent="0.35">
      <c r="B21">
        <f t="shared" si="0"/>
        <v>19</v>
      </c>
      <c r="C21" s="4">
        <f t="shared" si="1"/>
        <v>44890</v>
      </c>
      <c r="D21" s="5">
        <v>0.66666666666666663</v>
      </c>
      <c r="E21" t="s">
        <v>8</v>
      </c>
      <c r="F21" t="s">
        <v>40</v>
      </c>
      <c r="G21" t="s">
        <v>32</v>
      </c>
    </row>
    <row r="22" spans="2:7" hidden="1" x14ac:dyDescent="0.35">
      <c r="B22">
        <f t="shared" si="0"/>
        <v>20</v>
      </c>
      <c r="C22" s="4">
        <f t="shared" si="1"/>
        <v>44890</v>
      </c>
      <c r="D22" s="5">
        <v>0.79166666666666663</v>
      </c>
      <c r="E22" t="s">
        <v>43</v>
      </c>
      <c r="F22" t="s">
        <v>46</v>
      </c>
      <c r="G22" t="s">
        <v>54</v>
      </c>
    </row>
    <row r="23" spans="2:7" hidden="1" x14ac:dyDescent="0.35">
      <c r="B23">
        <f t="shared" si="0"/>
        <v>21</v>
      </c>
      <c r="C23" s="4">
        <f t="shared" si="1"/>
        <v>44891</v>
      </c>
      <c r="D23" s="5">
        <v>0.41666666666666669</v>
      </c>
      <c r="E23" t="s">
        <v>80</v>
      </c>
      <c r="F23" t="s">
        <v>91</v>
      </c>
      <c r="G23" t="s">
        <v>95</v>
      </c>
    </row>
    <row r="24" spans="2:7" hidden="1" x14ac:dyDescent="0.35">
      <c r="B24">
        <f t="shared" si="0"/>
        <v>22</v>
      </c>
      <c r="C24" s="4">
        <f t="shared" si="1"/>
        <v>44891</v>
      </c>
      <c r="D24" s="5">
        <v>0.54166666666666663</v>
      </c>
      <c r="E24" t="s">
        <v>62</v>
      </c>
      <c r="F24" t="s">
        <v>77</v>
      </c>
      <c r="G24" t="s">
        <v>69</v>
      </c>
    </row>
    <row r="25" spans="2:7" hidden="1" x14ac:dyDescent="0.35">
      <c r="B25">
        <f t="shared" si="0"/>
        <v>23</v>
      </c>
      <c r="C25" s="4">
        <f t="shared" si="1"/>
        <v>44891</v>
      </c>
      <c r="D25" s="5">
        <v>0.66666666666666663</v>
      </c>
      <c r="E25" t="s">
        <v>80</v>
      </c>
      <c r="F25" t="s">
        <v>83</v>
      </c>
      <c r="G25" t="s">
        <v>87</v>
      </c>
    </row>
    <row r="26" spans="2:7" hidden="1" x14ac:dyDescent="0.35">
      <c r="B26">
        <f t="shared" si="0"/>
        <v>24</v>
      </c>
      <c r="C26" s="4">
        <f t="shared" si="1"/>
        <v>44891</v>
      </c>
      <c r="D26" s="5">
        <v>0.79166666666666663</v>
      </c>
      <c r="E26" t="s">
        <v>62</v>
      </c>
      <c r="F26" t="s">
        <v>65</v>
      </c>
      <c r="G26" t="s">
        <v>73</v>
      </c>
    </row>
    <row r="27" spans="2:7" hidden="1" x14ac:dyDescent="0.35">
      <c r="B27">
        <f t="shared" si="0"/>
        <v>25</v>
      </c>
      <c r="C27" s="4">
        <f t="shared" si="1"/>
        <v>44892</v>
      </c>
      <c r="D27" s="5">
        <v>0.41666666666666669</v>
      </c>
      <c r="E27" t="s">
        <v>26</v>
      </c>
      <c r="F27" t="s">
        <v>38</v>
      </c>
      <c r="G27" t="s">
        <v>42</v>
      </c>
    </row>
    <row r="28" spans="2:7" hidden="1" x14ac:dyDescent="0.35">
      <c r="B28">
        <f t="shared" si="0"/>
        <v>26</v>
      </c>
      <c r="C28" s="4">
        <f t="shared" si="1"/>
        <v>44892</v>
      </c>
      <c r="D28" s="5">
        <v>0.54166666666666663</v>
      </c>
      <c r="E28" t="s">
        <v>44</v>
      </c>
      <c r="F28" t="s">
        <v>48</v>
      </c>
      <c r="G28" t="s">
        <v>56</v>
      </c>
    </row>
    <row r="29" spans="2:7" hidden="1" x14ac:dyDescent="0.35">
      <c r="B29">
        <f t="shared" si="0"/>
        <v>27</v>
      </c>
      <c r="C29" s="4">
        <f t="shared" si="1"/>
        <v>44892</v>
      </c>
      <c r="D29" s="5">
        <v>0.66666666666666663</v>
      </c>
      <c r="E29" t="s">
        <v>44</v>
      </c>
      <c r="F29" t="s">
        <v>60</v>
      </c>
      <c r="G29" t="s">
        <v>52</v>
      </c>
    </row>
    <row r="30" spans="2:7" hidden="1" x14ac:dyDescent="0.35">
      <c r="B30">
        <f t="shared" si="0"/>
        <v>28</v>
      </c>
      <c r="C30" s="4">
        <f t="shared" si="1"/>
        <v>44892</v>
      </c>
      <c r="D30" s="5">
        <v>0.79166666666666663</v>
      </c>
      <c r="E30" t="s">
        <v>26</v>
      </c>
      <c r="F30" t="s">
        <v>30</v>
      </c>
      <c r="G30" t="s">
        <v>34</v>
      </c>
    </row>
    <row r="31" spans="2:7" x14ac:dyDescent="0.35">
      <c r="B31">
        <f t="shared" si="0"/>
        <v>29</v>
      </c>
      <c r="C31" s="4">
        <f t="shared" si="1"/>
        <v>44893</v>
      </c>
      <c r="D31" s="5">
        <v>0.41666666666666669</v>
      </c>
      <c r="E31" t="s">
        <v>63</v>
      </c>
      <c r="F31" t="s">
        <v>79</v>
      </c>
      <c r="G31" t="s">
        <v>71</v>
      </c>
    </row>
    <row r="32" spans="2:7" hidden="1" x14ac:dyDescent="0.35">
      <c r="B32">
        <f t="shared" si="0"/>
        <v>30</v>
      </c>
      <c r="C32" s="4">
        <f t="shared" si="1"/>
        <v>44893</v>
      </c>
      <c r="D32" s="5">
        <v>0.54166666666666663</v>
      </c>
      <c r="E32" t="s">
        <v>81</v>
      </c>
      <c r="F32" t="s">
        <v>97</v>
      </c>
      <c r="G32" t="s">
        <v>89</v>
      </c>
    </row>
    <row r="33" spans="2:7" x14ac:dyDescent="0.35">
      <c r="B33">
        <f t="shared" si="0"/>
        <v>31</v>
      </c>
      <c r="C33" s="4">
        <f t="shared" si="1"/>
        <v>44893</v>
      </c>
      <c r="D33" s="5">
        <v>0.66666666666666663</v>
      </c>
      <c r="E33" t="s">
        <v>63</v>
      </c>
      <c r="F33" t="s">
        <v>67</v>
      </c>
      <c r="G33" t="s">
        <v>75</v>
      </c>
    </row>
    <row r="34" spans="2:7" hidden="1" x14ac:dyDescent="0.35">
      <c r="B34">
        <f t="shared" si="0"/>
        <v>32</v>
      </c>
      <c r="C34" s="4">
        <f t="shared" si="1"/>
        <v>44893</v>
      </c>
      <c r="D34" s="5">
        <v>0.79166666666666663</v>
      </c>
      <c r="E34" t="s">
        <v>81</v>
      </c>
      <c r="F34" t="s">
        <v>85</v>
      </c>
      <c r="G34" t="s">
        <v>93</v>
      </c>
    </row>
    <row r="35" spans="2:7" hidden="1" x14ac:dyDescent="0.35">
      <c r="B35">
        <f t="shared" si="0"/>
        <v>33</v>
      </c>
      <c r="C35" s="4">
        <f t="shared" si="1"/>
        <v>44894</v>
      </c>
      <c r="D35" s="5">
        <v>0.625</v>
      </c>
      <c r="E35" t="s">
        <v>8</v>
      </c>
      <c r="F35" t="s">
        <v>32</v>
      </c>
      <c r="G35" t="s">
        <v>36</v>
      </c>
    </row>
    <row r="36" spans="2:7" hidden="1" x14ac:dyDescent="0.35">
      <c r="B36">
        <f t="shared" si="0"/>
        <v>34</v>
      </c>
      <c r="C36" s="4">
        <f t="shared" si="1"/>
        <v>44894</v>
      </c>
      <c r="D36" s="5">
        <v>0.625</v>
      </c>
      <c r="E36" t="s">
        <v>8</v>
      </c>
      <c r="F36" t="s">
        <v>40</v>
      </c>
      <c r="G36" t="s">
        <v>28</v>
      </c>
    </row>
    <row r="37" spans="2:7" hidden="1" x14ac:dyDescent="0.35">
      <c r="B37">
        <f t="shared" si="0"/>
        <v>35</v>
      </c>
      <c r="C37" s="4">
        <f t="shared" si="1"/>
        <v>44894</v>
      </c>
      <c r="D37" s="5">
        <v>0.79166666666666663</v>
      </c>
      <c r="E37" t="s">
        <v>43</v>
      </c>
      <c r="F37" t="s">
        <v>58</v>
      </c>
      <c r="G37" t="s">
        <v>46</v>
      </c>
    </row>
    <row r="38" spans="2:7" hidden="1" x14ac:dyDescent="0.35">
      <c r="B38">
        <f t="shared" si="0"/>
        <v>36</v>
      </c>
      <c r="C38" s="4">
        <f t="shared" si="1"/>
        <v>44894</v>
      </c>
      <c r="D38" s="5">
        <v>0.79166666666666663</v>
      </c>
      <c r="E38" t="s">
        <v>43</v>
      </c>
      <c r="F38" t="s">
        <v>50</v>
      </c>
      <c r="G38" t="s">
        <v>54</v>
      </c>
    </row>
    <row r="39" spans="2:7" hidden="1" x14ac:dyDescent="0.35">
      <c r="B39">
        <f t="shared" si="0"/>
        <v>37</v>
      </c>
      <c r="C39" s="4">
        <f t="shared" si="1"/>
        <v>44895</v>
      </c>
      <c r="D39" s="5">
        <v>0.625</v>
      </c>
      <c r="E39" t="s">
        <v>80</v>
      </c>
      <c r="F39" t="s">
        <v>95</v>
      </c>
      <c r="G39" t="s">
        <v>87</v>
      </c>
    </row>
    <row r="40" spans="2:7" hidden="1" x14ac:dyDescent="0.35">
      <c r="B40">
        <f t="shared" si="0"/>
        <v>38</v>
      </c>
      <c r="C40" s="4">
        <f t="shared" si="1"/>
        <v>44895</v>
      </c>
      <c r="D40" s="5">
        <v>0.625</v>
      </c>
      <c r="E40" t="s">
        <v>80</v>
      </c>
      <c r="F40" t="s">
        <v>91</v>
      </c>
      <c r="G40" t="s">
        <v>83</v>
      </c>
    </row>
    <row r="41" spans="2:7" hidden="1" x14ac:dyDescent="0.35">
      <c r="B41">
        <f t="shared" si="0"/>
        <v>39</v>
      </c>
      <c r="C41" s="4">
        <f t="shared" si="1"/>
        <v>44895</v>
      </c>
      <c r="D41" s="5">
        <v>0.79166666666666663</v>
      </c>
      <c r="E41" t="s">
        <v>62</v>
      </c>
      <c r="F41" t="s">
        <v>77</v>
      </c>
      <c r="G41" t="s">
        <v>65</v>
      </c>
    </row>
    <row r="42" spans="2:7" hidden="1" x14ac:dyDescent="0.35">
      <c r="B42">
        <f t="shared" si="0"/>
        <v>40</v>
      </c>
      <c r="C42" s="4">
        <f t="shared" si="1"/>
        <v>44895</v>
      </c>
      <c r="D42" s="5">
        <v>0.79166666666666663</v>
      </c>
      <c r="E42" t="s">
        <v>62</v>
      </c>
      <c r="F42" t="s">
        <v>69</v>
      </c>
      <c r="G42" t="s">
        <v>73</v>
      </c>
    </row>
    <row r="43" spans="2:7" hidden="1" x14ac:dyDescent="0.35">
      <c r="B43">
        <f t="shared" si="0"/>
        <v>41</v>
      </c>
      <c r="C43" s="4">
        <f t="shared" si="1"/>
        <v>44896</v>
      </c>
      <c r="D43" s="5">
        <v>0.625</v>
      </c>
      <c r="E43" t="s">
        <v>44</v>
      </c>
      <c r="F43" t="s">
        <v>60</v>
      </c>
      <c r="G43" t="s">
        <v>48</v>
      </c>
    </row>
    <row r="44" spans="2:7" hidden="1" x14ac:dyDescent="0.35">
      <c r="B44">
        <f t="shared" si="0"/>
        <v>42</v>
      </c>
      <c r="C44" s="4">
        <f t="shared" si="1"/>
        <v>44896</v>
      </c>
      <c r="D44" s="5">
        <v>0.625</v>
      </c>
      <c r="E44" t="s">
        <v>44</v>
      </c>
      <c r="F44" t="s">
        <v>52</v>
      </c>
      <c r="G44" t="s">
        <v>56</v>
      </c>
    </row>
    <row r="45" spans="2:7" hidden="1" x14ac:dyDescent="0.35">
      <c r="B45">
        <f t="shared" si="0"/>
        <v>43</v>
      </c>
      <c r="C45" s="4">
        <f t="shared" si="1"/>
        <v>44896</v>
      </c>
      <c r="D45" s="5">
        <v>0.79166666666666663</v>
      </c>
      <c r="E45" t="s">
        <v>26</v>
      </c>
      <c r="F45" t="s">
        <v>38</v>
      </c>
      <c r="G45" t="s">
        <v>30</v>
      </c>
    </row>
    <row r="46" spans="2:7" hidden="1" x14ac:dyDescent="0.35">
      <c r="B46">
        <f t="shared" si="0"/>
        <v>44</v>
      </c>
      <c r="C46" s="4">
        <f t="shared" si="1"/>
        <v>44896</v>
      </c>
      <c r="D46" s="5">
        <v>0.79166666666666663</v>
      </c>
      <c r="E46" t="s">
        <v>26</v>
      </c>
      <c r="F46" t="s">
        <v>42</v>
      </c>
      <c r="G46" t="s">
        <v>34</v>
      </c>
    </row>
    <row r="47" spans="2:7" hidden="1" x14ac:dyDescent="0.35">
      <c r="B47">
        <f t="shared" si="0"/>
        <v>45</v>
      </c>
      <c r="C47" s="4">
        <f t="shared" si="1"/>
        <v>44897</v>
      </c>
      <c r="D47" s="5">
        <v>0.625</v>
      </c>
      <c r="E47" t="s">
        <v>81</v>
      </c>
      <c r="F47" t="s">
        <v>89</v>
      </c>
      <c r="G47" t="s">
        <v>93</v>
      </c>
    </row>
    <row r="48" spans="2:7" hidden="1" x14ac:dyDescent="0.35">
      <c r="B48">
        <f t="shared" si="0"/>
        <v>46</v>
      </c>
      <c r="C48" s="4">
        <f t="shared" si="1"/>
        <v>44897</v>
      </c>
      <c r="D48" s="5">
        <v>0.625</v>
      </c>
      <c r="E48" t="s">
        <v>81</v>
      </c>
      <c r="F48" t="s">
        <v>97</v>
      </c>
      <c r="G48" t="s">
        <v>85</v>
      </c>
    </row>
    <row r="49" spans="2:7" x14ac:dyDescent="0.35">
      <c r="B49">
        <f t="shared" si="0"/>
        <v>47</v>
      </c>
      <c r="C49" s="4">
        <f t="shared" si="1"/>
        <v>44897</v>
      </c>
      <c r="D49" s="5">
        <v>0.79166666666666663</v>
      </c>
      <c r="E49" t="s">
        <v>63</v>
      </c>
      <c r="F49" t="s">
        <v>71</v>
      </c>
      <c r="G49" t="s">
        <v>75</v>
      </c>
    </row>
    <row r="50" spans="2:7" x14ac:dyDescent="0.35">
      <c r="B50">
        <f t="shared" si="0"/>
        <v>48</v>
      </c>
      <c r="C50" s="4">
        <f t="shared" si="1"/>
        <v>44897</v>
      </c>
      <c r="D50" s="5">
        <v>0.79166666666666663</v>
      </c>
      <c r="E50" t="s">
        <v>63</v>
      </c>
      <c r="F50" t="s">
        <v>79</v>
      </c>
      <c r="G50" t="s">
        <v>67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Menu</vt:lpstr>
      <vt:lpstr>groupMarcoEsteves</vt:lpstr>
      <vt:lpstr>MarcoEsteves</vt:lpstr>
      <vt:lpstr>groupDianaCeleiro</vt:lpstr>
      <vt:lpstr>DianaCeleiro</vt:lpstr>
      <vt:lpstr>Real</vt:lpstr>
      <vt:lpstr>groupReal</vt:lpstr>
      <vt:lpstr>Scores</vt:lpstr>
      <vt:lpstr>Rules</vt:lpstr>
      <vt:lpstr>ModèleScores</vt:lpstr>
      <vt:lpstr>Modèlegroup</vt:lpstr>
      <vt:lpstr>dataMatch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Diana Celeiro</dc:creator>
  <cp:keywords/>
  <dc:description/>
  <cp:lastModifiedBy>Diana Celeiro</cp:lastModifiedBy>
  <cp:revision/>
  <dcterms:created xsi:type="dcterms:W3CDTF">2022-05-19T15:52:56Z</dcterms:created>
  <dcterms:modified xsi:type="dcterms:W3CDTF">2022-11-20T17:07:37Z</dcterms:modified>
  <cp:category/>
  <cp:contentStatus/>
</cp:coreProperties>
</file>